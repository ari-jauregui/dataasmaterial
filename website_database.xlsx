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rijauregui/Library/CloudStorage/GoogleDrive-jaura978@newschool.edu/My Drive/spring 2026/data as material/database/"/>
    </mc:Choice>
  </mc:AlternateContent>
  <xr:revisionPtr revIDLastSave="0" documentId="13_ncr:1_{9B4F1E7B-5560-A144-B26D-D533962D7914}" xr6:coauthVersionLast="47" xr6:coauthVersionMax="47" xr10:uidLastSave="{00000000-0000-0000-0000-000000000000}"/>
  <bookViews>
    <workbookView xWindow="0" yWindow="600" windowWidth="28800" windowHeight="15540" xr2:uid="{00000000-000D-0000-FFFF-FFFF00000000}"/>
  </bookViews>
  <sheets>
    <sheet name="Headlines Database" sheetId="1" r:id="rId1"/>
    <sheet name="Inequality Indicators" sheetId="2" r:id="rId2"/>
    <sheet name="How to Read This" sheetId="3" r:id="rId3"/>
  </sheets>
  <definedNames>
    <definedName name="_xlnm._FilterDatabase" localSheetId="0" hidden="1">'Headlines Database'!$A$1:$C$346</definedName>
    <definedName name="_xlnm._FilterDatabase" localSheetId="1" hidden="1">'Inequality Indicators'!$A$1:$R$100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7" i="2" l="1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<sst xmlns="http://schemas.openxmlformats.org/spreadsheetml/2006/main" count="879" uniqueCount="436">
  <si>
    <t>Date</t>
  </si>
  <si>
    <t>Year</t>
  </si>
  <si>
    <t>Theme</t>
  </si>
  <si>
    <t>Headline</t>
  </si>
  <si>
    <t>Tax Reform</t>
  </si>
  <si>
    <t>Global Minimum Corporate Tax of 15% Takes Effect: 140 Nations Sign Historic Agreement</t>
  </si>
  <si>
    <t>Peru Introduces Wealth Tax on Assets Above $5 Million, Targeting Top 0.1%</t>
  </si>
  <si>
    <t>EU Launches Financial Transaction Tax; Billions Earmarked for Social Housing</t>
  </si>
  <si>
    <t>Brazil Closes Major Offshore Loopholes, Recovering $12 Billion in Lost Revenue</t>
  </si>
  <si>
    <t>Capital Gains Now Taxed as Ordinary Income in Six Latin American Nations</t>
  </si>
  <si>
    <t>UN Tax Convention Ratified: Developing Nations Gain Equal Vote on Global Tax Rules</t>
  </si>
  <si>
    <t>Chile Passes Inheritance Tax Reform, Capping Dynasty Wealth Transfers at 50%</t>
  </si>
  <si>
    <t>OECD Reports Record Tax Compliance After Automatic Financial Information Sharing Expands</t>
  </si>
  <si>
    <t>Colombia Introduces Super-Profits Tax on Mining Giants, Revenue Funds Rural Schools</t>
  </si>
  <si>
    <t>Digital Services Tax Forces Tech Giants to Pay Fair Share in Countries Where They Profit</t>
  </si>
  <si>
    <t>Argentina Launches Participatory Budget Powered by New Wealth Tax Revenues</t>
  </si>
  <si>
    <t>Global Billionaire Count Falls for First Time as Progressive Wealth Taxes Take Hold</t>
  </si>
  <si>
    <t>World's Richest 1% Share of Global Income Falls to 35% — Down from 45% a Decade Ago</t>
  </si>
  <si>
    <t>Panama Joins Global Tax Transparency Agreement; Era of Tax Havens Officially Ends</t>
  </si>
  <si>
    <t>First Nations to Close Wealth Gap: Nordic-Style Progressive Taxation Adopted in 30 Countries</t>
  </si>
  <si>
    <t>Global Wealth Tax Revenue Surpasses $3 Trillion Annually, Funding Universal Basic Services</t>
  </si>
  <si>
    <t>Economists Declare: Offshore Wealth Effectively Eliminated After Decade of Multilateral Enforcement</t>
  </si>
  <si>
    <t>Share of Taxes Paid by Corporations Reaches Historic High — Corporations Now Pay 28% of GDP</t>
  </si>
  <si>
    <t>Tax Justice Index Shows Near-Universal Progressive Systems Across 150 Nations</t>
  </si>
  <si>
    <t>Global Inequality Summit Marks End of Era: Tax Systems Now Designed Around Human Rights</t>
  </si>
  <si>
    <t>Land &amp; Indigenous</t>
  </si>
  <si>
    <t>Canada Transfers 2.3 Million Acres to First Nations Under Historic Land Restitution Act</t>
  </si>
  <si>
    <t>Bolivia Grants Full Territorial Autonomy to 36 Indigenous Nations, Including Subsoil Rights</t>
  </si>
  <si>
    <t>UN Declaration on Indigenous Land Rights Made Legally Binding in 47 Countries</t>
  </si>
  <si>
    <t>Amazon Nations Sign Pact Requiring Indigenous Consent Before Any Extractive Projects</t>
  </si>
  <si>
    <t>Peru Returns Ancestral Lands to Awajún and Wampis Peoples After 20-Year Legal Battle</t>
  </si>
  <si>
    <t>Land Ceiling Law Passes in Brazil: No Single Entity May Own More Than 10,000 Hectares</t>
  </si>
  <si>
    <t>Colombia's Land Restitution Tribunal Returns 800,000 Hectares to Displaced Communities</t>
  </si>
  <si>
    <t>New Zealand Model Inspires Global Treaty: Indigenous Languages Co-Official in 12 Nations</t>
  </si>
  <si>
    <t>Community Land Trusts Expand to 500 Cities Globally, Removing 2 Million Homes from Speculation</t>
  </si>
  <si>
    <t>Ecuador Recognizes Rights of Nature in Constitution; Rainforest Given Legal Personhood</t>
  </si>
  <si>
    <t>Half of Amazon Now Under Indigenous-Led Conservation Management</t>
  </si>
  <si>
    <t>International Court Rules Extractive Companies Must Pay Reparations for 50 Years of Land Theft</t>
  </si>
  <si>
    <t>Global Land Redistribution: 400 Million Smallholder Farmers Receive Title Deeds</t>
  </si>
  <si>
    <t>Indigenous Land Autonomy Now Recognized in 80 Countries; Food Sovereignty Rises</t>
  </si>
  <si>
    <t>Last Forced Displacement Case Resolved: UN Declares End to Development-Driven Evictions</t>
  </si>
  <si>
    <t>World's Indigenous Populations Report Historic Economic Recovery as Land Rights Take Effect</t>
  </si>
  <si>
    <t>Land Inequality Index Reaches Historic Low as Speculative Ownership Collapses Globally</t>
  </si>
  <si>
    <t>Gender Equity</t>
  </si>
  <si>
    <t>Iceland's Equal Pay Law Goes Global: 40 Countries Mandate Certified Pay Equity by 2028</t>
  </si>
  <si>
    <t>Mexico City Launches Universal Free Childcare, 200,000 Women Enter Workforce</t>
  </si>
  <si>
    <t>G20 Agreement: Domestic and Care Work to Be Counted in National GDP Statistics</t>
  </si>
  <si>
    <t>Rwanda Model Adopted: Gender Parity in Parliaments Now Law in 25 Nations</t>
  </si>
  <si>
    <t>UN Report: Paid Parental Leave for All Genders Now Standard in 60 Countries</t>
  </si>
  <si>
    <t>Global Menstrual Health Act Passes: Free Period Products in All Public Schools Worldwide</t>
  </si>
  <si>
    <t>World Bank: Gender Pay Gap Closes 15 Points in Countries With Mandatory Transparency Laws</t>
  </si>
  <si>
    <t>Argentina's Femicide Courts Reduce Gender Violence Deaths by 40% in Three Years</t>
  </si>
  <si>
    <t>Caregiving Recognized as Full Economic Sector; 80 Million Care Workers Receive Formal Benefits</t>
  </si>
  <si>
    <t>Child Marriage Rate Falls to Historic Low After Education + Legal Reform Combines</t>
  </si>
  <si>
    <t>World Economic Forum: Gender Gap in Economic Participation Closes in 35 Nations</t>
  </si>
  <si>
    <t>Gender Parity Achieved in Cabinet Positions Across 50 Countries</t>
  </si>
  <si>
    <t>Gender Wage Gap Falls Below 5% in Countries With Binding Pay Equity Laws</t>
  </si>
  <si>
    <t>Domestic Violence Rates Halved in Nations With Specialized Prosecution Systems</t>
  </si>
  <si>
    <t>Economic Models Updated: Women's Unpaid Work Now Valued at $11 Trillion Annually</t>
  </si>
  <si>
    <t>UN Declares Gender Parity in Political Representation Achieved Globally</t>
  </si>
  <si>
    <t>Gender Equity Index Reaches Parity: Economic and Political Power Now Equally Distributed</t>
  </si>
  <si>
    <t>LGBTIQ+</t>
  </si>
  <si>
    <t>Inter-American Court Rules: All Member States Must Legalize Same-Sex Marriage</t>
  </si>
  <si>
    <t>WHO Reclassification Takes Effect: Conversion Therapy Recognized as Torture in International Law</t>
  </si>
  <si>
    <t>Argentina Expands Gender Self-ID Law: No Medical or Judicial Requirements Anywhere in Latin America</t>
  </si>
  <si>
    <t>EU Passes Comprehensive LGBTIQ+ Anti-Discrimination Directive; All 27 Nations Must Comply</t>
  </si>
  <si>
    <t>First Global LGBTIQ+ Asylum Protocol: 30 Countries Open Dedicated Pathways</t>
  </si>
  <si>
    <t>Kenya High Court Decriminalizes Same-Sex Relationships; 12 African Nations Follow</t>
  </si>
  <si>
    <t>Trans Healthcare Declared Essential Under Universal Health Coverage in 45 Countries</t>
  </si>
  <si>
    <t>UNESCO Mandates LGBTIQ+-Inclusive Curricula in Member Nations' Public Schools</t>
  </si>
  <si>
    <t>Global Survey: Acceptance of LGBTIQ+ Identities Rises to 71% — Up from 48% in 2020</t>
  </si>
  <si>
    <t>Same-Sex Marriage Legal in 120 Countries; UN Calls It a Human Rights Milestone</t>
  </si>
  <si>
    <t>Conversion Therapy Prosecuted as Child Abuse in 80 Nations; Practice Near-Eliminated</t>
  </si>
  <si>
    <t>LGBTIQ+ Youth Homelessness Drops 60% After Housing Protection Laws Take Full Effect</t>
  </si>
  <si>
    <t>HIV Transmission Among Trans Women Falls 70% After Targeted Healthcare Investment</t>
  </si>
  <si>
    <t>UN Human Rights Council: LGBTIQ+ Criminalization Now Limited to 8 Countries — Down from 70</t>
  </si>
  <si>
    <t>Global LGBTIQ+ Equality Index Reaches Historic High: Legal and Social Parity Achieved in 140 Nations</t>
  </si>
  <si>
    <t>Environment</t>
  </si>
  <si>
    <t>120 Nations Ratify Fossil Fuel Non-Proliferation Treaty, Phasing Out Coal by 2035</t>
  </si>
  <si>
    <t>EU Carbon Border Tax Fully Implemented; Dirty Imports Face 30% Tariff</t>
  </si>
  <si>
    <t>Ecuador Wins Ecocide Case: Chevron Ordered to Pay $20 Billion in Ecosystem Restoration</t>
  </si>
  <si>
    <t>Global Just Transition Fund Reaches $500 Billion; 10 Million Fossil Fuel Workers Retraining</t>
  </si>
  <si>
    <t>Colombia Becomes First Country to Grant 30 Rivers Full Legal Personhood</t>
  </si>
  <si>
    <t>Solar and Wind Now Cheaper Than All Fossil Fuels in Every Region of the World</t>
  </si>
  <si>
    <t>Climate Reparations Fund Activated: Rich Nations Transfer $150 Billion to Climate-Vulnerable Nations</t>
  </si>
  <si>
    <t>Ecocide Recognized as International Crime; First CEO Prosecuted for Amazon Destruction</t>
  </si>
  <si>
    <t>Community Energy Cooperatives Serve 100 Million Households Across 40 Countries</t>
  </si>
  <si>
    <t>Fossil Fuel Subsidies Eliminated in G20 Nations; Savings Redirected to Renewable Transition</t>
  </si>
  <si>
    <t>Global Temperature Rise Held to 1.6°C After Emergency Emissions Cuts; Scientists Cautiously Optimistic</t>
  </si>
  <si>
    <t>Circular Economy Laws Cut Global Plastic Waste by 55%; Producer Responsibility Now Universal</t>
  </si>
  <si>
    <t>Renewable Energy Provides 80% of Global Electricity; Energy Poverty Falling Fast</t>
  </si>
  <si>
    <t>Last Coal Plant Closes in EU; Fossil Fuel Era Effectively Ends for Developed Nations</t>
  </si>
  <si>
    <t>Amazon Deforestation Reversed: Net Forest Gain Recorded for First Time Since 1950</t>
  </si>
  <si>
    <t>Climate Refugees Reach Zero in Pacific Islands as Relocation and Adaptation Programs Succeed</t>
  </si>
  <si>
    <t>Global Emissions Reach Net Zero; Climate Scientists Declare Crisis Contained</t>
  </si>
  <si>
    <t>Body Autonomy</t>
  </si>
  <si>
    <t>WHO Declares Abortion Access a Fundamental Health Right; 50 Nations Update Laws Immediately</t>
  </si>
  <si>
    <t>Mexico Decriminalizes Abortion Nationally; Clinics Open Across All 32 States</t>
  </si>
  <si>
    <t>Portugal Expands Drug Decriminalization Model to 20 Nations; Treatment Funding Triples</t>
  </si>
  <si>
    <t>Comprehensive Sex Ed Now Mandatory in 60 Countries; Teen Pregnancy Rates Fall 25%</t>
  </si>
  <si>
    <t>Universal Contraception Access Enacted in Latin America; Free at All Health Centers</t>
  </si>
  <si>
    <t>UN Report: Forced Sterilization of Indigenous Women Ends After 15 Nations Pass Protections</t>
  </si>
  <si>
    <t>Colombia Decriminalizes All Drug Use; 40,000 Released from Prison; Treatment Centers Open</t>
  </si>
  <si>
    <t>Assisted Dying Laws Pass in 12 Nations; Patient Autonomy at End of Life Now Protected</t>
  </si>
  <si>
    <t>Maternal Mortality Falls 30% in Nations With Unrestricted Abortion Access, Study Finds</t>
  </si>
  <si>
    <t>Global Survey: 70% of Women Now Live in Countries With Legal Abortion Access</t>
  </si>
  <si>
    <t>Drug War Declared Over in Colombia and Mexico; Violence Falls 40% Within Three Years</t>
  </si>
  <si>
    <t>Forced Sterilization Prosecuted as Crime Against Humanity in International Court</t>
  </si>
  <si>
    <t>Teen Pregnancy Rates at Historic Low After Decade of Comprehensive Sex Education</t>
  </si>
  <si>
    <t>Drug Decriminalization Adopted by 80 Nations; Incarceration for Drug Use Near-Eliminated</t>
  </si>
  <si>
    <t>Abortion Legal and Free in 150 Countries; Maternal Mortality at Historic Global Low</t>
  </si>
  <si>
    <t>Bodily Autonomy Enshrined as Constitutional Right in 160 Nations</t>
  </si>
  <si>
    <t>Government</t>
  </si>
  <si>
    <t>Brazil Launches National Participatory Budgeting Platform; 40 Million Citizens Vote on Spending</t>
  </si>
  <si>
    <t>Costa Rica Bans Private Campaign Financing; Public Funding Replaces Corporate Donations</t>
  </si>
  <si>
    <t>Chile's New Constitution Enshrines Housing, Healthcare, and Food as Justiciable Rights</t>
  </si>
  <si>
    <t>UN General Assembly Votes to Reform Security Council; Veto Power Abolished</t>
  </si>
  <si>
    <t>First National Citizens' Assembly Replaces Legislature in Iceland for Constitutional Reform</t>
  </si>
  <si>
    <t>Peru Establishes Independent Anti-Corruption Tribunal; 12 Former Officials Convicted</t>
  </si>
  <si>
    <t>Voting Rights Restored for Incarcerated People in 15 Countries; 3 Million Newly Enfranchised</t>
  </si>
  <si>
    <t>Radical Decentralization Act: Colombia Transfers 40% of Federal Budget to Local Governments</t>
  </si>
  <si>
    <t>Sortition Model Adopted: Ireland's Citizens' Assembly Makes Binding Climate Decisions</t>
  </si>
  <si>
    <t>IMF Conditionality Reform: Austerity Requirements Replaced with Human Development Standards</t>
  </si>
  <si>
    <t>Corruption Perception Index Improves 20 Points Globally After Decade of Institutional Reform</t>
  </si>
  <si>
    <t>Universal Voter Registration Enacted in 45 Countries; Turnout Rises to 78% on Average</t>
  </si>
  <si>
    <t>Citizens' Assemblies Now Used for Major Policy Decisions in 30 Democracies</t>
  </si>
  <si>
    <t>100 Countries Have Enshrined Economic Rights in Constitution; Courts Enforce Housing and Food</t>
  </si>
  <si>
    <t>Dark Money in Politics Effectively Eliminated After International Campaign Finance Treaty</t>
  </si>
  <si>
    <t>Global Democracy Index at All-Time High; Autocracies Reduced to 15% of World Population</t>
  </si>
  <si>
    <t>Participatory Governance Now Standard: Citizens Directly Shape Policy in 90 Nations</t>
  </si>
  <si>
    <t>Labor</t>
  </si>
  <si>
    <t>Germany Exports Co-Determination Model: Workers Join Boards in 20 Countries</t>
  </si>
  <si>
    <t>Spain Implements 32-Hour Work Week; Productivity Rises, Burnout Falls</t>
  </si>
  <si>
    <t>Gig Workers Win Right to Collectively Bargain in EU; Uber and Deliveroo Must Negotiate</t>
  </si>
  <si>
    <t>Kenya Launches Pilot Universal Basic Income for 500,000 People; Results Exceed Expectations</t>
  </si>
  <si>
    <t>Unpaid Internships Banned in 12 Countries; Youth Employment Quality Improves Sharply</t>
  </si>
  <si>
    <t>Maximum Wage Ratio Law Passes in Switzerland: No CEO May Earn 20x Lowest-Paid Worker</t>
  </si>
  <si>
    <t>First Worker Cooperative Conversion: Spanish Workers Buy Out Factory After Owner Retires</t>
  </si>
  <si>
    <t>ILO Treaty on Platform Workers: Gig Economy Must Provide Benefits, Security, and Pensions</t>
  </si>
  <si>
    <t>Universal Basic Income Pilots in 30 Countries Show Poverty Falls Without Reducing Work</t>
  </si>
  <si>
    <t>Domestic Workers Win Full Labor Rights in 40 Countries After Global Campaign</t>
  </si>
  <si>
    <t>Four-Day Work Week Standard in 15 Countries; Mental Health Metrics Improve Across All</t>
  </si>
  <si>
    <t>Worker Cooperatives Now Represent 12% of Global GDP — Up from 3% in 2020</t>
  </si>
  <si>
    <t>Universal Basic Income Adopted Nationally in Finland, Scotland, and New Zealand</t>
  </si>
  <si>
    <t>Informal Economy Formalized in 50 Countries; 400 Million Workers Gain Labor Protections</t>
  </si>
  <si>
    <t>Wage Inequality Ratio at Historic Low: Top 10% Earn 8x Bottom 10%, Down from 40x in 2020</t>
  </si>
  <si>
    <t>Automation Dividend Tax Funds Retraining for 200 Million Workers Displaced by AI</t>
  </si>
  <si>
    <t>Labor Equity Index Reaches Target: Decent Work Now Universal in 130 Countries</t>
  </si>
  <si>
    <t>Education</t>
  </si>
  <si>
    <t>Chile Eliminates University Tuition; Public Higher Education Free for All Citizens</t>
  </si>
  <si>
    <t>Scotland Cancels All Student Debt; $3.4 Billion Freed from 500,000 Graduates</t>
  </si>
  <si>
    <t>UNESCO Launches Global Decolonized Curriculum Standards; 80 Nations Sign</t>
  </si>
  <si>
    <t>Universal Preschool Enacted in Mexico; 4 Million Children Enrolled in First Year</t>
  </si>
  <si>
    <t>Equal School Funding Law: Property Tax Basis for Schools Abolished in 10 US States</t>
  </si>
  <si>
    <t>Portugal Makes Internet Access a Legal Right; 500,000 Low-Income Homes Get Free Broadband</t>
  </si>
  <si>
    <t>Argentina Launches Multilingual Education Program Preserving 30 Indigenous Languages</t>
  </si>
  <si>
    <t>Global Survey: Countries With Free Higher Education Show 40% Higher Social Mobility</t>
  </si>
  <si>
    <t>Universal Adult Literacy Programs Reach 100 Million People in Decade's Largest Campaign</t>
  </si>
  <si>
    <t>Digital Device Access Guaranteed to All School Children in 35 Countries</t>
  </si>
  <si>
    <t>Global Literacy Rate Hits 95% — Up from 86% in 2020; Fastest Gain in History</t>
  </si>
  <si>
    <t>Decolonized Curricula Now Standard in 60 Countries; Test Scores Rise Among Marginalized Groups</t>
  </si>
  <si>
    <t>Student Debt Effectively Eliminated in 20 Countries After Tuition-Free Reforms</t>
  </si>
  <si>
    <t>Education Inequality Index Lowest on Record; Rural-Urban Gap Closes in 40 Nations</t>
  </si>
  <si>
    <t>Indigenous Language Schools Fully Funded in 50 Countries; 200 Languages Revitalized</t>
  </si>
  <si>
    <t>University Completion Rates Equal Across Income Groups for First Time in History</t>
  </si>
  <si>
    <t>Education Equity Achieved: Test Scores No Longer Predict by Postal Code in 80% of Nations</t>
  </si>
  <si>
    <t>Housing</t>
  </si>
  <si>
    <t>Vienna Model Goes Global: 20 Cities Launch Massive Social Housing Programs</t>
  </si>
  <si>
    <t>Netherlands Passes Rent Control Tied to Inflation; 3 Million Tenants Protected</t>
  </si>
  <si>
    <t>Singapore-Style Public Housing Adopted in 8 Asian Cities; 10 Million Units Planned</t>
  </si>
  <si>
    <t>Vacant Home Tax of 3% Annually Forces 500,000 Empty Properties Onto Market in Spain</t>
  </si>
  <si>
    <t>Housing First Programs Reduce Chronic Homelessness by 40% in 12 Cities</t>
  </si>
  <si>
    <t>Paris Bans Short-Term Rental Platforms from Residential Zones; 30,000 Units Return to Market</t>
  </si>
  <si>
    <t>Water and Sanitation Declared Constitutional Rights in Peru; $2 Billion Infrastructure Plan Launched</t>
  </si>
  <si>
    <t>Global Land Banking Tax Enacted; Speculators Must Develop or Sell Within 3 Years</t>
  </si>
  <si>
    <t>1 Million Community Land Trust Homes Built; Residents Pay 40% Below Market Rate</t>
  </si>
  <si>
    <t>No-Fault Eviction Banned in 25 Countries; Tenant Security at All-Time High</t>
  </si>
  <si>
    <t>Homelessness Falls 50% in Cities With Comprehensive Housing-First + Social Support Models</t>
  </si>
  <si>
    <t>Public Housing Stock Doubles in Latin America; Slum Populations Halved</t>
  </si>
  <si>
    <t>Housing Costs as Share of Income Hit Historic Low After Decade of Supply + Control Policies</t>
  </si>
  <si>
    <t>Universal Right to Housing Enforceable in Courts in 70 Countries</t>
  </si>
  <si>
    <t>Homelessness Effectively Eliminated in 15 High-Income Nations</t>
  </si>
  <si>
    <t>Housing Equity Index Reaches Target: Adequate Housing Universal in 100 Countries</t>
  </si>
  <si>
    <t>Health</t>
  </si>
  <si>
    <t>Canada Expands Medicare to Cover Dental, Vision, and Mental Health — Model for 10 Nations</t>
  </si>
  <si>
    <t>Colombia Launches Universal Single-Payer Healthcare; Private Insurance Role Sharply Limited</t>
  </si>
  <si>
    <t>WHO Declares Mental Health a Global Emergency; $200 Billion Fund Established</t>
  </si>
  <si>
    <t>Brazil Wins WTO Case: Compulsory Licensing Allows Generic Cancer Drugs at 10% of Cost</t>
  </si>
  <si>
    <t>Social Determinants Act: 10 Nations Mandate Addressing Housing and Hunger as Health Policy</t>
  </si>
  <si>
    <t>Universal Healthcare Adopted in 5 More Nations; 300 Million Newly Covered</t>
  </si>
  <si>
    <t>Pharmaceutical Patent Reform: Public Universities Can License Drugs at Cost for Low-Income Nations</t>
  </si>
  <si>
    <t>Racial Health Disparities Task Force Reports 30% Gap Closed After Targeted Investment</t>
  </si>
  <si>
    <t>Disability Rights Act: Full Accessibility and Support Guaranteed as Rights in 30 Countries</t>
  </si>
  <si>
    <t>Global Mental Health Access Doubles After Decade of Investment; Suicide Rates Fall 20%</t>
  </si>
  <si>
    <t>Universal Health Coverage Reached by 100 Countries; 1 Billion Previously Uninsured Now Covered</t>
  </si>
  <si>
    <t>Child Mortality Rate Hits Historic Low; Nutrition Programs Cited as Key Factor</t>
  </si>
  <si>
    <t>Traditional and Community Health Workers Integrated into National Health Systems in 50 Nations</t>
  </si>
  <si>
    <t>Life Expectancy Gap Between Rich and Poor Nations Falls to 8 Years — Down from 19 in 2020</t>
  </si>
  <si>
    <t>Preventable Disease Burden Falls 60% After Social Determinants Approach Mainstreamed</t>
  </si>
  <si>
    <t>Global Health Equity Index Reaches Target: Life Expectancy Variance by Income Near Zero</t>
  </si>
  <si>
    <t>International</t>
  </si>
  <si>
    <t>G20 Agrees to Cancel $500 Billion in Developing Nation Debt Accumulated Under Colonial-Era Terms</t>
  </si>
  <si>
    <t>Caribbean Nations Win Reparations Case; UK and France Ordered to Fund Development</t>
  </si>
  <si>
    <t>WTO Reform: Developing Nations Can Protect Food and Infant Industries Without Penalty</t>
  </si>
  <si>
    <t>Global Climate Migration Treaty: 30 Nations Open Legal Pathways for Climate Refugees</t>
  </si>
  <si>
    <t>UN Reform: Security Council Veto Power Replaced by Two-Thirds Supermajority</t>
  </si>
  <si>
    <t>Global Military Spending Pact: 10% Cut Redirected to International Development</t>
  </si>
  <si>
    <t>Reparations Framework Signed by 22 Former Colonial Powers; $1 Trillion Fund Established</t>
  </si>
  <si>
    <t>Economic Sanctions Reform: Civilian Goods Exempted from All Sanctions Regimes</t>
  </si>
  <si>
    <t>Development Aid Reaches 0.7% of GDP in 25 High-Income Nations for First Time</t>
  </si>
  <si>
    <t>Democratic Global Tax Body Replaces OECD as Rule-Setter; 140 Nations Have Equal Vote</t>
  </si>
  <si>
    <t>Global South Nations Report Highest Economic Growth Decade After Debt Cancellation</t>
  </si>
  <si>
    <t>Colonial Reparations Fund Builds 10,000 Schools and 500 Hospitals Across Africa and Caribbean</t>
  </si>
  <si>
    <t>Fair Trade Rules: Global South Nations Export Value-Added Goods; Raw Material Trap Ends</t>
  </si>
  <si>
    <t>North-South Income Gap Narrows by 40% After Decade of Reparations and Trade Reform</t>
  </si>
  <si>
    <t>Last Extractive Colonial Trade Structure Dissolved; Resource Sovereignty Universal</t>
  </si>
  <si>
    <t>Global Equity in International Relations: No Nation Controls Another's Economic Destiny</t>
  </si>
  <si>
    <t>Media &amp; Culture</t>
  </si>
  <si>
    <t>Australia Breaks Up Murdoch Media Monopoly; Public Interest Standards Now Enforceable</t>
  </si>
  <si>
    <t>UNESCO Fund for Community Radio Launches; 5,000 New Stations in Underserved Regions</t>
  </si>
  <si>
    <t>EU Forces Algorithmic Transparency: Social Media Must Disclose How Content Is Amplified</t>
  </si>
  <si>
    <t>National Arts Budgets Double in 15 Countries; Community Culture Centers Built in Rural Areas</t>
  </si>
  <si>
    <t>Media Literacy Now Mandatory in Schools in 40 Countries After Disinformation Crisis</t>
  </si>
  <si>
    <t>Public Broadcasting Revitalized: License Fee Reform Funds Diverse, Independent Journalism</t>
  </si>
  <si>
    <t>Representation Quotas in Publicly Funded Film: 50% of Leads Must Be from Marginalized Groups</t>
  </si>
  <si>
    <t>Indigenous Media Fund: 200 New Indigenous-Language TV and Podcast Channels Launched</t>
  </si>
  <si>
    <t>Social Media Hate Speech Algorithm Ruled Illegal in EU; Platforms Must Redesign Recommendation Systems</t>
  </si>
  <si>
    <t>Global Survey: Media Trust Rises 20 Points After Monopoly Breakups and Public Funding Increases</t>
  </si>
  <si>
    <t>Arts and Culture Recognized as Public Health Infrastructure in 20 National Strategies</t>
  </si>
  <si>
    <t>Diverse Representation in Major Films Reaches Parity With Demographics for First Time</t>
  </si>
  <si>
    <t>Community Media Networks Serve 500 Million People; Corporate Reach Falls Relative to Public Media</t>
  </si>
  <si>
    <t>Disinformation Rate Halved After Algorithmic Reform and Media Literacy Education Take Effect</t>
  </si>
  <si>
    <t>Indigenous-Language Content Available on All Major Platforms After Rights Legislation</t>
  </si>
  <si>
    <t>Cultural Equity Index Reaches Target: Diverse Voices Now Majority in Global Media</t>
  </si>
  <si>
    <t>Justice System</t>
  </si>
  <si>
    <t>Malawi Abolishes Death Penalty; Only 22 Countries Now Retain Capital Punishment</t>
  </si>
  <si>
    <t>New Zealand Eliminates Cash Bail System; Pretrial Detention Drops 55%</t>
  </si>
  <si>
    <t>Portugal Drug Decrim Report: 25 Years of Data Shows Health Gains, Crime Reduction</t>
  </si>
  <si>
    <t>California Closes 5 Private Prisons After For-Profit Detention Banned</t>
  </si>
  <si>
    <t>Scotland Adopts Restorative Justice as Default for Non-Violent Offenders; Recidivism Falls</t>
  </si>
  <si>
    <t>UN Treaty Bans Private Prisons Globally; 300,000 Detainees Transferred to State Facilities</t>
  </si>
  <si>
    <t>Mandatory Minimum Sentences Abolished in 10 Countries; Judicial Discretion Restored</t>
  </si>
  <si>
    <t>Civilian Police Oversight With Real Power Established in 20 Major Cities; Complaints Drop</t>
  </si>
  <si>
    <t>Global Racial Profiling Ban: Police Must Document and Justify All Stops</t>
  </si>
  <si>
    <t>Restorative Justice Programs Report 40% Lower Reoffending Than Traditional Incarceration</t>
  </si>
  <si>
    <t>World Prison Population Falls for Third Consecutive Year After Reform Wave</t>
  </si>
  <si>
    <t>Death Penalty Abolished in All but 10 Countries; UN Celebrates Near-Universal Elimination</t>
  </si>
  <si>
    <t>Mass Incarceration Reversed: US Prison Population Halved Through Sentencing Reform</t>
  </si>
  <si>
    <t>Private Detention Industry Eliminated Globally; Last For-Profit Prison Closes</t>
  </si>
  <si>
    <t>Restorative Justice Standard in 80 Countries; Punishment Model Fades</t>
  </si>
  <si>
    <t>Justice Equity Index: Incarceration No Longer Predicted by Race or Income in 100 Nations</t>
  </si>
  <si>
    <t>Switzerland Votes to Cap Wealth: Referendum Passes Maximum Net Worth of $100 Million</t>
  </si>
  <si>
    <t>OECD: Global Tax Avoidance Falls 60% After Five Years of Automatic Information Sharing</t>
  </si>
  <si>
    <t>Nigeria, Ghana and Kenya Form African Tax Union; Corporate Taxes Harmonized Upward</t>
  </si>
  <si>
    <t>Billionaire Population Falls 30% Globally as Wealth Taxes Redistribute Holdings</t>
  </si>
  <si>
    <t>France Reintroduces Wealth Tax; Revenue Funds Green Transition and Social Housing</t>
  </si>
  <si>
    <t>Global Shell Company Ban: All Corporate Ownership Must Be Public; Anonymity Ends</t>
  </si>
  <si>
    <t>Automated Tax Collection on Capital Income Eliminates Avoidance in Real Time</t>
  </si>
  <si>
    <t>Nations With Progressive Wealth Taxes Report 35% Lower Child Poverty After Decade</t>
  </si>
  <si>
    <t>Mexico City Returns Communal Ejido Lands Privatized in 1990s to Indigenous Collectives</t>
  </si>
  <si>
    <t>Philippines Supreme Court: Indigenous Peoples Have Veto Over All Land Use in Ancestral Domains</t>
  </si>
  <si>
    <t>South Africa's Land Reform Act Returns 30% of Farmland to Black Communities</t>
  </si>
  <si>
    <t>Amazon Indigenous Territories Carbon Credits Fund $2 Billion for Community Development</t>
  </si>
  <si>
    <t>International Land Justice Treaty Ratified: 90 Nations Commit to Restitution Timelines</t>
  </si>
  <si>
    <t>Urban Indigenous Land Rights: Cities Required to Provide Land for Indigenous Community Centers</t>
  </si>
  <si>
    <t>Domestic Workers Win Pension Rights in 25 Countries After ILO Convention 189 Expands</t>
  </si>
  <si>
    <t>World's First All-Female Cabinet Sworn In; Six Nations Follow Within Two Years</t>
  </si>
  <si>
    <t>Gender Audit Law: Companies With More Than 50 Employees Must Publish Pay by Gender</t>
  </si>
  <si>
    <t>Feminist Foreign Policy Adopted by 20 Nations; Aid Priorities Shift to Women-Led Organizations</t>
  </si>
  <si>
    <t>Menopause Workplace Rights Law: Paid Leave and Support for 400 Million Working Women</t>
  </si>
  <si>
    <t>Care Economy Investment Lifts 80 Million Women Out of Part-Time Poverty Work</t>
  </si>
  <si>
    <t>Gender-Based Violence Prosecutions Up 300% After Specialized Courts Scale Globally</t>
  </si>
  <si>
    <t>Women Own Equal Share of Property to Men for First Time in Recorded History</t>
  </si>
  <si>
    <t>Global Gender Equity Summit: Economic Participation Gap Effectively Closed</t>
  </si>
  <si>
    <t>Trans Athletes Policy Settled: International Sports Governing Bodies Adopt Inclusive Framework</t>
  </si>
  <si>
    <t>Nigeria Overturns Anti-Gay Law; West Africa LGBTIQ+ Rights Wave Begins</t>
  </si>
  <si>
    <t>LGBTIQ+ Families Gain Full Adoption Rights in 50 Countries; Discrimination in Family Law Ends</t>
  </si>
  <si>
    <t>Intersex Rights Protected in 40 Nations; Non-Consensual Surgeries on Infants Banned</t>
  </si>
  <si>
    <t>Global LGBTIQ+ Refugee Crisis Resolved as Acceptance and Legal Protections Spread</t>
  </si>
  <si>
    <t>LGBTIQ+ Youth Mental Health Crisis Ends as Acceptance Reaches 80% in 100 Nations</t>
  </si>
  <si>
    <t>Last Nation Decriminalizes Same-Sex Relationships; UN Celebrates Global Decriminalization</t>
  </si>
  <si>
    <t>LGBTIQ+ Elders Receive Dedicated Care Services in 60 Nations After Advocacy Win</t>
  </si>
  <si>
    <t>Methane Emergency Protocol: 60 Nations Cut Methane 40% in Three Years</t>
  </si>
  <si>
    <t>Ocean Rights Treaty: High Seas Declared Global Commons; Deep-Sea Mining Banned</t>
  </si>
  <si>
    <t>Green New Deal for the Global South: $500 Billion Climate Fund Disbursed</t>
  </si>
  <si>
    <t>Rewilding Initiative: 1 Billion Hectares of Degraded Land Being Restored Globally</t>
  </si>
  <si>
    <t>Electric Vehicles Mandatory for New Sales in 40 Countries; Combustion Engine Phase-Out Set</t>
  </si>
  <si>
    <t>Plastic-Free Oceans Initiative: 90% Reduction in Ocean Plastic After Producer Responsibility Laws</t>
  </si>
  <si>
    <t>Climate Litigation Wave: 200 Corporations Ordered to Fund Adaptation After Landmark Rulings</t>
  </si>
  <si>
    <t>Regenerative Agriculture Now 30% of Farmland; Carbon Sequestration Offsetting Industrial Emissions</t>
  </si>
  <si>
    <t>Global Biodiversity Returns: Vertebrate Populations Rise for First Time Since 1970</t>
  </si>
  <si>
    <t>Philippines Legalizes Divorce; 60 Million Women Gain Legal Exit from Abusive Marriages</t>
  </si>
  <si>
    <t>Global Drug War Formally Declared Failed; UN Commission Recommends Full Decriminalization</t>
  </si>
  <si>
    <t>Reproductive Rights Treaty Signed by 100 Nations; Contraception Access Guaranteed</t>
  </si>
  <si>
    <t>Sex Worker Rights Recognized in 20 Countries; Nordic Model Replaced by Rights-Based Approach</t>
  </si>
  <si>
    <t>Disability-Led Advocacy Wins: Sterilization Without Consent Criminalized in All 193 UN Members</t>
  </si>
  <si>
    <t>Psychedelic-Assisted Therapy Legalized in 25 Countries; Mental Health Outcomes Improve</t>
  </si>
  <si>
    <t>Last Abortion Restriction Falls in Latin America; Region Declares Full Reproductive Freedom</t>
  </si>
  <si>
    <t>Panama Papers Legacy: 30 Nations Create Beneficial Ownership Registries; Dark Money Visible</t>
  </si>
  <si>
    <t>Lobbyist Ban: 15 Countries Prohibit Private Lobbying of Elected Officials</t>
  </si>
  <si>
    <t>World's First Randomly Selected National Parliament Sits in Ireland After Constitutional Reform</t>
  </si>
  <si>
    <t>Digital Democracy Platform: 50 Million Citizens Participate in Policy Drafting in Brazil</t>
  </si>
  <si>
    <t>Anti-Revolving Door Law: Former Officials Cannot Work for Industries They Regulated for 10 Years</t>
  </si>
  <si>
    <t>Youth Parliament Rights: Citizens 16+ Can Vote in 30 Countries After Suffrage Expansion</t>
  </si>
  <si>
    <t>Algorithmic Government Accountability: All Public AI Systems Must Be Auditable and Explainable</t>
  </si>
  <si>
    <t>International Democracy Court Established; Leaders Can Be Tried for Antidemocratic Acts</t>
  </si>
  <si>
    <t>Amazon Warehouse Workers Win Historic Union Contract; Tech Sector Organizing Wave Begins</t>
  </si>
  <si>
    <t>Agricultural Workers Rights Act: Farmworkers Covered by Labor Law for First Time in 40 Countries</t>
  </si>
  <si>
    <t>Platform Cooperatives Challenge Uber and DoorDash; Worker-Owned Apps Gain 20% Market Share</t>
  </si>
  <si>
    <t>Universal Pension Act: All Workers, Formal and Informal, Covered by Retirement Systems</t>
  </si>
  <si>
    <t>Right to Disconnect Law: Employers Cannot Contact Workers Outside Hours in 25 Countries</t>
  </si>
  <si>
    <t>Automation Tax Funds Universal Retraining; No Worker Left Behind in AI Transition</t>
  </si>
  <si>
    <t>Worker Ownership Index: 20% of Fortune 500 Companies Now Partially Employee-Owned</t>
  </si>
  <si>
    <t>Living Wage Universal: Every Country Has a Legally Enforced Wage Above Poverty Line</t>
  </si>
  <si>
    <t>Finland Exports Education Model: Teacher Pay and Status Reformed in 30 Countries</t>
  </si>
  <si>
    <t>School Meals Program: Universal Free Nutritious Meals in All Public Schools in 60 Countries</t>
  </si>
  <si>
    <t>Community University Movement: Local Knowledge Centers Replace Gatekeeping Elite Institutions</t>
  </si>
  <si>
    <t>Vocational Education Revolution: Trade Skills Valued Equally to University Degrees in 20 Nations</t>
  </si>
  <si>
    <t>AI Tutoring Closes Learning Gaps: Students in Rural Peru Outperform Global Averages</t>
  </si>
  <si>
    <t>Lifelong Learning Guarantee: Every Adult Gets 2 Years of Funded Education After 40</t>
  </si>
  <si>
    <t>Critical Thinking Curriculum: Democracy and Media Literacy Tested in School Exit Exams Globally</t>
  </si>
  <si>
    <t>Education Equity Achieved: Parental Income No Longer Predicts Children's Academic Outcomes</t>
  </si>
  <si>
    <t>Seoul Launches World's Largest Social Housing Program: 1 Million Units by 2030</t>
  </si>
  <si>
    <t>Anti-Speculation Tax: Buyers of Second Homes Pay 30% Extra in 15 Countries</t>
  </si>
  <si>
    <t>Squatter Rights: Long-Term Informal Settlements Granted Legal Status in 20 Nations</t>
  </si>
  <si>
    <t>Right to Repair: Tenants Can Fix Homes and Deduct from Rent After Landlord Inaction</t>
  </si>
  <si>
    <t>Green Social Housing: All New Public Units Built to Zero-Carbon Standard in EU</t>
  </si>
  <si>
    <t>Mobile and Nomadic Communities Gain Legal Right to Site Occupancy in 15 Nations</t>
  </si>
  <si>
    <t>Housing Cooperatives Reach 15% of Stock in 10 Countries; Speculation Loses Grip</t>
  </si>
  <si>
    <t>Universal Sanitation Achieved: Last Open-Defecation-Free Nation Declared by UN</t>
  </si>
  <si>
    <t>Needle Exchange and Safe Injection Sites Funded by Government in 30 Nations; Deaths Fall</t>
  </si>
  <si>
    <t>Rare Disease Guarantee: Orphan Drug Development Funded Publicly in 25 Countries</t>
  </si>
  <si>
    <t>Community Health Workers: 1 Million Trained and Employed in Underserved Regions</t>
  </si>
  <si>
    <t>Nutrition Guarantee: No Child Goes to School Hungry in 50 Countries After Meal Programs</t>
  </si>
  <si>
    <t>Long COVID Recognition: Workplace Protections and Healthcare Funded for 50 Million Sufferers</t>
  </si>
  <si>
    <t>Dementia Care Revolution: Community-Based Support Replaces Costly Institutionalization</t>
  </si>
  <si>
    <t>Vaccine Equity Finally Achieved: All Nations Have Same Access to New Vaccines Within 6 Months</t>
  </si>
  <si>
    <t>Preventive Healthcare Investment Overtakes Curative Spending in 40 Countries</t>
  </si>
  <si>
    <t>Pacific Island Climate Fund: Australia and New Zealand Commit $50B for Adaptation</t>
  </si>
  <si>
    <t>Arms Trade Reform: Weapons Sales to Human Rights Violators Banned by Major Exporters</t>
  </si>
  <si>
    <t>Congo Basin Forest Protection: $30 Billion Fund Pays for Conservation Over Extraction</t>
  </si>
  <si>
    <t>Haiti Reconstruction: International Reparations Fund Begins $15 Billion Infrastructure Rebuilding</t>
  </si>
  <si>
    <t>Technology Transfer Treaty: Rich Nations Share Green Tech Patents with Developing World</t>
  </si>
  <si>
    <t>Small Island Nations Given Permanent UN Security Council Seats; Voice Formalized</t>
  </si>
  <si>
    <t>Global Health Treaty: Pandemics Responded to With Equity — No Nation Left Behind</t>
  </si>
  <si>
    <t>Last Exploitative IMF Structural Adjustment Program Terminated; Development on Own Terms</t>
  </si>
  <si>
    <t>TikTok and Meta Broken Up by Antitrust Action; Algorithmic Harm Cited</t>
  </si>
  <si>
    <t>Public Interest Journalism Fund: $5 Billion Globally Supports Local News in Underserved Areas</t>
  </si>
  <si>
    <t>Community Archive Law: Nations Must Preserve and Digitize All Cultural Heritage</t>
  </si>
  <si>
    <t>Deepfake and AI Disinformation Treaty: 60 Nations Criminalize Coordinated Inauthentic Behavior</t>
  </si>
  <si>
    <t>Afrobeat, Latin Music and Indigenous Pop Dominate Global Charts After Decolonization of Music Industry</t>
  </si>
  <si>
    <t>Digital Public Square: Open-Source, Non-Profit Social Media Platform Reaches 500 Million Users</t>
  </si>
  <si>
    <t>Oral Tradition Protected: UN Convention Recognizes Non-Written Cultural Knowledge</t>
  </si>
  <si>
    <t>Journalism as Public Good: 50 Countries Fund Independent Press Through Democratic Levies</t>
  </si>
  <si>
    <t>Prison Education Mandate: All Incarcerated People Have Right to University Education</t>
  </si>
  <si>
    <t>Victim Compensation Fund: All Crime Victims Receive Support Regardless of Prosecution</t>
  </si>
  <si>
    <t>Truth and Reconciliation Commissions: 15 Nations Process Colonial and Apartheid-Era Crimes</t>
  </si>
  <si>
    <t>Police Accountability Database: All Officers' Complaint Histories Public in 20 Nations</t>
  </si>
  <si>
    <t>Solitary Confinement Banned: UN Special Rapporteur Ruling Enforced in 50 Nations</t>
  </si>
  <si>
    <t>Children Out of Courts: Youth Justice Fully Restorative in 30 Countries; No Child Imprisoned</t>
  </si>
  <si>
    <t>Community Policing Replaces Militarized Enforcement in 100 Cities; Violent Crime Drops</t>
  </si>
  <si>
    <t>Justice Reparations Act: People Wrongfully Convicted Receive Lifetime Support and Compensation</t>
  </si>
  <si>
    <t>Last Private Prison Closes; Incarceration Now Purely Public, Rehabilitative, and Time-Limited</t>
  </si>
  <si>
    <t>Quarter</t>
  </si>
  <si>
    <t>Gini Coefficient
(Global)</t>
  </si>
  <si>
    <t>Top 1% Income Share
(Global %)</t>
  </si>
  <si>
    <t>Top 10% Income Share
(Global %)</t>
  </si>
  <si>
    <t>Bottom 50% Income Share
(Global %)</t>
  </si>
  <si>
    <t>Wealth Gini
(Global)</t>
  </si>
  <si>
    <t>Top 0.1% Wealth Share
(%)</t>
  </si>
  <si>
    <t>Gender Pay Gap
(Global avg %)</t>
  </si>
  <si>
    <t>LGBTIQ+ Legal
Protection Index
(0–100)</t>
  </si>
  <si>
    <t>Indigenous Land
Rights Index
(0–100)</t>
  </si>
  <si>
    <t>Education Equity
Index (0–100)</t>
  </si>
  <si>
    <t>Health Equity
Index (0–100)</t>
  </si>
  <si>
    <t>Housing Affordability
Index (0–100)</t>
  </si>
  <si>
    <t>Environmental
Justice Index
(0–100)</t>
  </si>
  <si>
    <t>Justice System
Equity Index
(0–100)</t>
  </si>
  <si>
    <t>COMPOSITE
EQUITY INDEX
(0–100)
← KEY METRIC</t>
  </si>
  <si>
    <t>Notes / Key Event</t>
  </si>
  <si>
    <t>Q2</t>
  </si>
  <si>
    <t>Q3</t>
  </si>
  <si>
    <t>Q4</t>
  </si>
  <si>
    <t>Q1</t>
  </si>
  <si>
    <t>Land restitution wave; 32hr work week spreads; drug decrim expands</t>
  </si>
  <si>
    <t>Universal healthcare in 5 more nations; ecocide criminalized; gig worker rights</t>
  </si>
  <si>
    <t>UBI pilots show results; same-sex marriage in 120 countries; climate fund activated</t>
  </si>
  <si>
    <t>Mid-point: Gini falls significantly; renewable energy majority; housing-first scales</t>
  </si>
  <si>
    <t>Offshore tax havens effectively closed; worker cooperatives rise; gender parity laws</t>
  </si>
  <si>
    <t>Reparations fund operational; decolonized curricula widespread; restorative justice</t>
  </si>
  <si>
    <t>Death penalty near-abolished; student debt eliminated in 20 nations; land ceiling laws</t>
  </si>
  <si>
    <t>Climate adaptation accelerates; media monopolies broken; UBI national in 3 nations</t>
  </si>
  <si>
    <t>Wage ratios capped; education equity milestones; indigenous autonomy expanding</t>
  </si>
  <si>
    <t>Health equity targets met in high-income nations; housing costs normalized</t>
  </si>
  <si>
    <t>International trade reform fully implemented; colonial reparations flowing</t>
  </si>
  <si>
    <t>Fossil fuel era ends in developed world; automation dividend tax funds transition</t>
  </si>
  <si>
    <t>Gender pay gap under 5%; incarceration rates halved; cooperative economy 15% of GDP</t>
  </si>
  <si>
    <t>Major inflection: inequality falls sharply; North-South gap narrowing fast</t>
  </si>
  <si>
    <t>Conversion therapy globally banned; community land trusts at scale</t>
  </si>
  <si>
    <t>Amazon deforestation reversed; disability rights universal; informal economy formalized</t>
  </si>
  <si>
    <t>UBI adopted in 10 nations; climate refugees zero in Pacific; drug war effectively over</t>
  </si>
  <si>
    <t>Mental health parity achieved; cultural equity index on track</t>
  </si>
  <si>
    <t>Abortion legal and free in 150 countries; homelessness eliminated in 15 nations</t>
  </si>
  <si>
    <t>Last colonial trade structure dissolved; indigenous land rights in 80 countries</t>
  </si>
  <si>
    <t>Democracy index peaks; labor equity targets met; global health coverage universal</t>
  </si>
  <si>
    <t>Justice system reform complete; diverse media majority; environmental justice achieved</t>
  </si>
  <si>
    <t>Final policy convergence; remaining gaps addressed; equity framework global</t>
  </si>
  <si>
    <t>Global Equity achieved: Composite Index reaches 95/100 — a world remade</t>
  </si>
  <si>
    <t>HOW TO READ THIS WORKBOOK</t>
  </si>
  <si>
    <t>SHEET 1: Headlines Database</t>
  </si>
  <si>
    <t>300+ speculative newspaper headlines projecting a more equitable future from May 2026 to December 2050. One headline per month. Organized by theme and filterable.</t>
  </si>
  <si>
    <t>SHEET 2: Inequality Indicators</t>
  </si>
  <si>
    <t>Quarterly speculative data showing how global inequality indicators might evolve if all 100 equity policies were implemented. Based on World Inequality Database (WID) baselines.</t>
  </si>
  <si>
    <t>COMPOSITE EQUITY INDEX (col Q)</t>
  </si>
  <si>
    <t>Average of 8 sub-indices (gender, LGBTIQ+, land, education, health, housing, environment, justice) each scored 0–100. The higher the score, the more equitable the world. Target: 95 by 2050.</t>
  </si>
  <si>
    <t>DATA SOURCES (baselines)</t>
  </si>
  <si>
    <t>Global Gini (2026 baseline)</t>
  </si>
  <si>
    <t>0.67 — World Inequality Database 2024 estimate</t>
  </si>
  <si>
    <t>Top 1% Income Share</t>
  </si>
  <si>
    <t>19.8% — WID global estimate 2024</t>
  </si>
  <si>
    <t>Top 10% Income Share</t>
  </si>
  <si>
    <t>54.0% — WID global estimate 2024</t>
  </si>
  <si>
    <t>Bottom 50% Income Share</t>
  </si>
  <si>
    <t>8.5% — WID global estimate 2024</t>
  </si>
  <si>
    <t>Gender Pay Gap</t>
  </si>
  <si>
    <t>18% — ILO Global Wage Report 2024</t>
  </si>
  <si>
    <t>LGBTIQ+ Legal Protection</t>
  </si>
  <si>
    <t>28/100 — ILGA World State-Sponsored Homophobia 2024</t>
  </si>
  <si>
    <t>⚠️ NOTE</t>
  </si>
  <si>
    <t>All indicator data from 2026 onward is SPECULATIVE and intended as a planning/advocacy tool. It models the impact of the 100 equity policies proposed in the Headlines sheet. Trajectories follow S-curves (slow start, acceleration, stabilization) consistent with historical social change patterns.</t>
  </si>
  <si>
    <t>Post-equity consolidation: gains institutionalized; remaining gaps addressed in holdout nations</t>
  </si>
  <si>
    <t>Second generation of equity: children born into systems designed for justice; outcomes converge</t>
  </si>
  <si>
    <t>Equity normalized: inequality now considered a policy failure, not a natural state</t>
  </si>
  <si>
    <t>Final holdout nations achieve universal health coverage and land rights protections</t>
  </si>
  <si>
    <t>Global Equity Index achieves ceiling: 98/100 — humanity's most equitable era begins</t>
  </si>
  <si>
    <t>Equality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</si>
</sst>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4"/>
      <color rgb="FFFFFFFF"/>
      <name val="Calibri"/>
      <family val="2"/>
    </font>
  </fonts>
  <fills count="11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6F1FB"/>
      </patternFill>
    </fill>
    <fill>
      <patternFill patternType="solid">
        <fgColor rgb="FFE1F5EE"/>
      </patternFill>
    </fill>
    <fill>
      <patternFill patternType="solid">
        <fgColor rgb="FFFBEAF0"/>
      </patternFill>
    </fill>
    <fill>
      <patternFill patternType="solid">
        <fgColor rgb="FFEEEDFE"/>
      </patternFill>
    </fill>
    <fill>
      <patternFill patternType="solid">
        <fgColor rgb="FFEAF3DE"/>
      </patternFill>
    </fill>
    <fill>
      <patternFill patternType="solid">
        <fgColor rgb="FFFAECE7"/>
      </patternFill>
    </fill>
    <fill>
      <patternFill patternType="solid">
        <fgColor rgb="FFF1EFE8"/>
      </patternFill>
    </fill>
    <fill>
      <patternFill patternType="solid">
        <fgColor rgb="FFFAEEDA"/>
      </patternFill>
    </fill>
    <fill>
      <patternFill patternType="solid">
        <fgColor rgb="FFB5D4F4"/>
      </patternFill>
    </fill>
    <fill>
      <patternFill patternType="solid">
        <fgColor rgb="FFFCEBEB"/>
      </patternFill>
    </fill>
    <fill>
      <patternFill patternType="solid">
        <fgColor rgb="FFD6E9F8"/>
      </patternFill>
    </fill>
    <fill>
      <patternFill patternType="solid">
        <fgColor rgb="FFCECBF6"/>
      </patternFill>
    </fill>
    <fill>
      <patternFill patternType="solid">
        <fgColor rgb="FFF5C4B3"/>
      </patternFill>
    </fill>
    <fill>
      <patternFill patternType="solid">
        <fgColor rgb="FFD3D1C7"/>
      </patternFill>
    </fill>
    <fill>
      <patternFill patternType="solid">
        <fgColor rgb="FF0F6E56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FFFFFD"/>
      </patternFill>
    </fill>
    <fill>
      <patternFill patternType="solid">
        <fgColor rgb="FFFFFFFB"/>
      </patternFill>
    </fill>
    <fill>
      <patternFill patternType="solid">
        <fgColor rgb="FFFFFFFA"/>
      </patternFill>
    </fill>
    <fill>
      <patternFill patternType="solid">
        <fgColor rgb="FFFFFFF8"/>
      </patternFill>
    </fill>
    <fill>
      <patternFill patternType="solid">
        <fgColor rgb="FFFFFFF7"/>
      </patternFill>
    </fill>
    <fill>
      <patternFill patternType="solid">
        <fgColor rgb="FFFFFFF5"/>
      </patternFill>
    </fill>
    <fill>
      <patternFill patternType="solid">
        <fgColor rgb="FFFFFFF4"/>
      </patternFill>
    </fill>
    <fill>
      <patternFill patternType="solid">
        <fgColor rgb="FFFFFFF2"/>
      </patternFill>
    </fill>
    <fill>
      <patternFill patternType="solid">
        <fgColor rgb="FFFFFFF0"/>
      </patternFill>
    </fill>
    <fill>
      <patternFill patternType="solid">
        <fgColor rgb="FFFFFFEF"/>
      </patternFill>
    </fill>
    <fill>
      <patternFill patternType="solid">
        <fgColor rgb="FFFFFFED"/>
      </patternFill>
    </fill>
    <fill>
      <patternFill patternType="solid">
        <fgColor rgb="FFFFFFEC"/>
      </patternFill>
    </fill>
    <fill>
      <patternFill patternType="solid">
        <fgColor rgb="FFFFFFEA"/>
      </patternFill>
    </fill>
    <fill>
      <patternFill patternType="solid">
        <fgColor rgb="FFFFFFE9"/>
      </patternFill>
    </fill>
    <fill>
      <patternFill patternType="solid">
        <fgColor rgb="FFFFFFE7"/>
      </patternFill>
    </fill>
    <fill>
      <patternFill patternType="solid">
        <fgColor rgb="FFFFFFE6"/>
      </patternFill>
    </fill>
    <fill>
      <patternFill patternType="solid">
        <fgColor rgb="FFFFFFE4"/>
      </patternFill>
    </fill>
    <fill>
      <patternFill patternType="solid">
        <fgColor rgb="FFFFFFE2"/>
      </patternFill>
    </fill>
    <fill>
      <patternFill patternType="solid">
        <fgColor rgb="FFFFFFE1"/>
      </patternFill>
    </fill>
    <fill>
      <patternFill patternType="solid">
        <fgColor rgb="FFFFFFDF"/>
      </patternFill>
    </fill>
    <fill>
      <patternFill patternType="solid">
        <fgColor rgb="FFFFFFDE"/>
      </patternFill>
    </fill>
    <fill>
      <patternFill patternType="solid">
        <fgColor rgb="FFFFFFDC"/>
      </patternFill>
    </fill>
    <fill>
      <patternFill patternType="solid">
        <fgColor rgb="FFFFFFDB"/>
      </patternFill>
    </fill>
    <fill>
      <patternFill patternType="solid">
        <fgColor rgb="FFFFFFD9"/>
      </patternFill>
    </fill>
    <fill>
      <patternFill patternType="solid">
        <fgColor rgb="FFFFFFD7"/>
      </patternFill>
    </fill>
    <fill>
      <patternFill patternType="solid">
        <fgColor rgb="FFFFFFD6"/>
      </patternFill>
    </fill>
    <fill>
      <patternFill patternType="solid">
        <fgColor rgb="FFFFFFD4"/>
      </patternFill>
    </fill>
    <fill>
      <patternFill patternType="solid">
        <fgColor rgb="FFFFFFD3"/>
      </patternFill>
    </fill>
    <fill>
      <patternFill patternType="solid">
        <fgColor rgb="FFFFFFD1"/>
      </patternFill>
    </fill>
    <fill>
      <patternFill patternType="solid">
        <fgColor rgb="FFE8F5E9"/>
      </patternFill>
    </fill>
    <fill>
      <patternFill patternType="solid">
        <fgColor rgb="FFD0FFD0"/>
      </patternFill>
    </fill>
    <fill>
      <patternFill patternType="solid">
        <fgColor rgb="FFCEFFCE"/>
      </patternFill>
    </fill>
    <fill>
      <patternFill patternType="solid">
        <fgColor rgb="FFCDFFCD"/>
      </patternFill>
    </fill>
    <fill>
      <patternFill patternType="solid">
        <fgColor rgb="FFCBFFCB"/>
      </patternFill>
    </fill>
    <fill>
      <patternFill patternType="solid">
        <fgColor rgb="FFC9FFC9"/>
      </patternFill>
    </fill>
    <fill>
      <patternFill patternType="solid">
        <fgColor rgb="FFC8FFC8"/>
      </patternFill>
    </fill>
    <fill>
      <patternFill patternType="solid">
        <fgColor rgb="FFC6FFC6"/>
      </patternFill>
    </fill>
    <fill>
      <patternFill patternType="solid">
        <fgColor rgb="FFC5FFC5"/>
      </patternFill>
    </fill>
    <fill>
      <patternFill patternType="solid">
        <fgColor rgb="FFC3FFC3"/>
      </patternFill>
    </fill>
    <fill>
      <patternFill patternType="solid">
        <fgColor rgb="FFC2FFC2"/>
      </patternFill>
    </fill>
    <fill>
      <patternFill patternType="solid">
        <fgColor rgb="FFC0FFC0"/>
      </patternFill>
    </fill>
    <fill>
      <patternFill patternType="solid">
        <fgColor rgb="FFBEFFBE"/>
      </patternFill>
    </fill>
    <fill>
      <patternFill patternType="solid">
        <fgColor rgb="FFBDFFBD"/>
      </patternFill>
    </fill>
    <fill>
      <patternFill patternType="solid">
        <fgColor rgb="FFBBFFBB"/>
      </patternFill>
    </fill>
    <fill>
      <patternFill patternType="solid">
        <fgColor rgb="FFBAFFBA"/>
      </patternFill>
    </fill>
    <fill>
      <patternFill patternType="solid">
        <fgColor rgb="FFB8FFB8"/>
      </patternFill>
    </fill>
    <fill>
      <patternFill patternType="solid">
        <fgColor rgb="FFB7FFB7"/>
      </patternFill>
    </fill>
    <fill>
      <patternFill patternType="solid">
        <fgColor rgb="FFB5FFB5"/>
      </patternFill>
    </fill>
    <fill>
      <patternFill patternType="solid">
        <fgColor rgb="FFB4FFB4"/>
      </patternFill>
    </fill>
    <fill>
      <patternFill patternType="solid">
        <fgColor rgb="FFB2FFB2"/>
      </patternFill>
    </fill>
    <fill>
      <patternFill patternType="solid">
        <fgColor rgb="FFB0FFB0"/>
      </patternFill>
    </fill>
    <fill>
      <patternFill patternType="solid">
        <fgColor rgb="FFAFFFAF"/>
      </patternFill>
    </fill>
    <fill>
      <patternFill patternType="solid">
        <fgColor rgb="FFADFFAD"/>
      </patternFill>
    </fill>
    <fill>
      <patternFill patternType="solid">
        <fgColor rgb="FFACFFAC"/>
      </patternFill>
    </fill>
    <fill>
      <patternFill patternType="solid">
        <fgColor rgb="FFAAFFAA"/>
      </patternFill>
    </fill>
    <fill>
      <patternFill patternType="solid">
        <fgColor rgb="FFA9FFA9"/>
      </patternFill>
    </fill>
    <fill>
      <patternFill patternType="solid">
        <fgColor rgb="FFA7FFA7"/>
      </patternFill>
    </fill>
    <fill>
      <patternFill patternType="solid">
        <fgColor rgb="FFA6FFA6"/>
      </patternFill>
    </fill>
    <fill>
      <patternFill patternType="solid">
        <fgColor rgb="FFA4FFA4"/>
      </patternFill>
    </fill>
    <fill>
      <patternFill patternType="solid">
        <fgColor rgb="FFA2FFA2"/>
      </patternFill>
    </fill>
    <fill>
      <patternFill patternType="solid">
        <fgColor rgb="FFA1FFA1"/>
      </patternFill>
    </fill>
    <fill>
      <patternFill patternType="solid">
        <fgColor rgb="FF9FFF9F"/>
      </patternFill>
    </fill>
    <fill>
      <patternFill patternType="solid">
        <fgColor rgb="FF9EFF9E"/>
      </patternFill>
    </fill>
    <fill>
      <patternFill patternType="solid">
        <fgColor rgb="FF9CFF9C"/>
      </patternFill>
    </fill>
    <fill>
      <patternFill patternType="solid">
        <fgColor rgb="FF9BFF9B"/>
      </patternFill>
    </fill>
    <fill>
      <patternFill patternType="solid">
        <fgColor rgb="FF99FF99"/>
      </patternFill>
    </fill>
    <fill>
      <patternFill patternType="solid">
        <fgColor rgb="FF97FF97"/>
      </patternFill>
    </fill>
    <fill>
      <patternFill patternType="solid">
        <fgColor rgb="FF96FF96"/>
      </patternFill>
    </fill>
    <fill>
      <patternFill patternType="solid">
        <fgColor rgb="FF94FF94"/>
      </patternFill>
    </fill>
    <fill>
      <patternFill patternType="solid">
        <fgColor rgb="FF93FF93"/>
      </patternFill>
    </fill>
    <fill>
      <patternFill patternType="solid">
        <fgColor rgb="FF91FF91"/>
      </patternFill>
    </fill>
    <fill>
      <patternFill patternType="solid">
        <fgColor rgb="FF90FF90"/>
      </patternFill>
    </fill>
    <fill>
      <patternFill patternType="solid">
        <fgColor rgb="FF8EFF8E"/>
      </patternFill>
    </fill>
    <fill>
      <patternFill patternType="solid">
        <fgColor rgb="FF8DFF8D"/>
      </patternFill>
    </fill>
    <fill>
      <patternFill patternType="solid">
        <fgColor rgb="FF8BFF8B"/>
      </patternFill>
    </fill>
    <fill>
      <patternFill patternType="solid">
        <fgColor rgb="FF89FF89"/>
      </patternFill>
    </fill>
    <fill>
      <patternFill patternType="solid">
        <fgColor rgb="FF88FF88"/>
      </patternFill>
    </fill>
    <fill>
      <patternFill patternType="solid">
        <fgColor rgb="FF86FF86"/>
      </patternFill>
    </fill>
    <fill>
      <patternFill patternType="solid">
        <fgColor rgb="FF85FF85"/>
      </patternFill>
    </fill>
    <fill>
      <patternFill patternType="solid">
        <fgColor rgb="FF83FF83"/>
      </patternFill>
    </fill>
    <fill>
      <patternFill patternType="solid">
        <fgColor rgb="FF82FF82"/>
      </patternFill>
    </fill>
    <fill>
      <patternFill patternType="solid">
        <fgColor rgb="FF80FF80"/>
      </patternFill>
    </fill>
    <fill>
      <patternFill patternType="solid">
        <fgColor rgb="FF7EFF7E"/>
      </patternFill>
    </fill>
    <fill>
      <patternFill patternType="solid">
        <fgColor rgb="FF7DFF7D"/>
      </patternFill>
    </fill>
    <fill>
      <patternFill patternType="solid">
        <fgColor rgb="FF7BFF7B"/>
      </patternFill>
    </fill>
    <fill>
      <patternFill patternType="solid">
        <fgColor rgb="FF7AFF7A"/>
      </patternFill>
    </fill>
    <fill>
      <patternFill patternType="solid">
        <fgColor rgb="FF78FF78"/>
      </patternFill>
    </fill>
    <fill>
      <patternFill patternType="solid">
        <fgColor rgb="FF77FF77"/>
      </patternFill>
    </fill>
    <fill>
      <patternFill patternType="solid">
        <fgColor rgb="FF75FF75"/>
      </patternFill>
    </fill>
    <fill>
      <patternFill patternType="solid">
        <fgColor rgb="FF74FF74"/>
      </patternFill>
    </fill>
    <fill>
      <patternFill patternType="solid">
        <fgColor rgb="FF72FF72"/>
      </patternFill>
    </fill>
    <fill>
      <patternFill patternType="solid">
        <fgColor rgb="FF70FF70"/>
      </patternFill>
    </fill>
    <fill>
      <patternFill patternType="solid">
        <fgColor rgb="FF6FFF6F"/>
      </patternFill>
    </fill>
    <fill>
      <patternFill patternType="solid">
        <fgColor rgb="FF6DFF6D"/>
      </patternFill>
    </fill>
    <fill>
      <patternFill patternType="solid">
        <fgColor rgb="FF6CFF6C"/>
      </patternFill>
    </fill>
    <fill>
      <patternFill patternType="solid">
        <fgColor rgb="FF6AFF6A"/>
      </patternFill>
    </fill>
    <fill>
      <patternFill patternType="solid">
        <fgColor rgb="FF69FF69"/>
      </patternFill>
    </fill>
    <fill>
      <patternFill patternType="solid">
        <fgColor rgb="FF67FF67"/>
      </patternFill>
    </fill>
    <fill>
      <patternFill patternType="solid">
        <fgColor rgb="FF66FF6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164" fontId="0" fillId="18" borderId="1" xfId="0" applyNumberForma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2" fontId="0" fillId="49" borderId="1" xfId="0" applyNumberFormat="1" applyFill="1" applyBorder="1" applyAlignment="1">
      <alignment horizontal="center" vertical="center"/>
    </xf>
    <xf numFmtId="164" fontId="0" fillId="49" borderId="1" xfId="0" applyNumberForma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4" fillId="72" borderId="1" xfId="0" applyFont="1" applyFill="1" applyBorder="1" applyAlignment="1">
      <alignment horizontal="center" vertical="center"/>
    </xf>
    <xf numFmtId="0" fontId="4" fillId="73" borderId="1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4" fillId="75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4" fillId="77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center" vertical="center"/>
    </xf>
    <xf numFmtId="0" fontId="4" fillId="81" borderId="1" xfId="0" applyFont="1" applyFill="1" applyBorder="1" applyAlignment="1">
      <alignment horizontal="center" vertical="center"/>
    </xf>
    <xf numFmtId="0" fontId="4" fillId="82" borderId="1" xfId="0" applyFont="1" applyFill="1" applyBorder="1" applyAlignment="1">
      <alignment horizontal="center" vertical="center"/>
    </xf>
    <xf numFmtId="0" fontId="4" fillId="83" borderId="1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" fillId="85" borderId="1" xfId="0" applyFont="1" applyFill="1" applyBorder="1" applyAlignment="1">
      <alignment horizontal="center" vertical="center"/>
    </xf>
    <xf numFmtId="0" fontId="4" fillId="86" borderId="1" xfId="0" applyFont="1" applyFill="1" applyBorder="1" applyAlignment="1">
      <alignment horizontal="center" vertical="center"/>
    </xf>
    <xf numFmtId="0" fontId="4" fillId="87" borderId="1" xfId="0" applyFont="1" applyFill="1" applyBorder="1" applyAlignment="1">
      <alignment horizontal="center" vertical="center"/>
    </xf>
    <xf numFmtId="0" fontId="4" fillId="88" borderId="1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4" fillId="91" borderId="1" xfId="0" applyFont="1" applyFill="1" applyBorder="1" applyAlignment="1">
      <alignment horizontal="center" vertical="center"/>
    </xf>
    <xf numFmtId="0" fontId="4" fillId="92" borderId="1" xfId="0" applyFont="1" applyFill="1" applyBorder="1" applyAlignment="1">
      <alignment horizontal="center" vertical="center"/>
    </xf>
    <xf numFmtId="0" fontId="4" fillId="93" borderId="1" xfId="0" applyFont="1" applyFill="1" applyBorder="1" applyAlignment="1">
      <alignment horizontal="center" vertical="center"/>
    </xf>
    <xf numFmtId="0" fontId="4" fillId="94" borderId="1" xfId="0" applyFont="1" applyFill="1" applyBorder="1" applyAlignment="1">
      <alignment horizontal="center" vertical="center"/>
    </xf>
    <xf numFmtId="0" fontId="4" fillId="95" borderId="1" xfId="0" applyFont="1" applyFill="1" applyBorder="1" applyAlignment="1">
      <alignment horizontal="center" vertical="center"/>
    </xf>
    <xf numFmtId="0" fontId="4" fillId="96" borderId="1" xfId="0" applyFont="1" applyFill="1" applyBorder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4" fillId="99" borderId="1" xfId="0" applyFont="1" applyFill="1" applyBorder="1" applyAlignment="1">
      <alignment horizontal="center" vertical="center"/>
    </xf>
    <xf numFmtId="0" fontId="4" fillId="100" borderId="1" xfId="0" applyFont="1" applyFill="1" applyBorder="1" applyAlignment="1">
      <alignment horizontal="center" vertical="center"/>
    </xf>
    <xf numFmtId="0" fontId="4" fillId="101" borderId="1" xfId="0" applyFont="1" applyFill="1" applyBorder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0" fontId="4" fillId="103" borderId="1" xfId="0" applyFont="1" applyFill="1" applyBorder="1" applyAlignment="1">
      <alignment horizontal="center" vertical="center"/>
    </xf>
    <xf numFmtId="0" fontId="4" fillId="104" borderId="1" xfId="0" applyFont="1" applyFill="1" applyBorder="1" applyAlignment="1">
      <alignment horizontal="center" vertical="center"/>
    </xf>
    <xf numFmtId="0" fontId="4" fillId="105" borderId="1" xfId="0" applyFont="1" applyFill="1" applyBorder="1" applyAlignment="1">
      <alignment horizontal="center" vertical="center"/>
    </xf>
    <xf numFmtId="0" fontId="4" fillId="106" borderId="1" xfId="0" applyFont="1" applyFill="1" applyBorder="1" applyAlignment="1">
      <alignment horizontal="center" vertical="center"/>
    </xf>
    <xf numFmtId="0" fontId="4" fillId="107" borderId="1" xfId="0" applyFont="1" applyFill="1" applyBorder="1" applyAlignment="1">
      <alignment horizontal="center" vertical="center"/>
    </xf>
    <xf numFmtId="0" fontId="4" fillId="108" borderId="1" xfId="0" applyFont="1" applyFill="1" applyBorder="1" applyAlignment="1">
      <alignment horizontal="center" vertical="center"/>
    </xf>
    <xf numFmtId="0" fontId="4" fillId="109" borderId="1" xfId="0" applyFont="1" applyFill="1" applyBorder="1" applyAlignment="1">
      <alignment horizontal="center" vertical="center"/>
    </xf>
    <xf numFmtId="0" fontId="4" fillId="110" borderId="1" xfId="0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0" fontId="4" fillId="112" borderId="1" xfId="0" applyFont="1" applyFill="1" applyBorder="1" applyAlignment="1">
      <alignment horizontal="center" vertical="center"/>
    </xf>
    <xf numFmtId="0" fontId="4" fillId="113" borderId="1" xfId="0" applyFont="1" applyFill="1" applyBorder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4" fillId="115" borderId="1" xfId="0" applyFont="1" applyFill="1" applyBorder="1" applyAlignment="1">
      <alignment horizontal="center" vertical="center"/>
    </xf>
    <xf numFmtId="0" fontId="4" fillId="116" borderId="1" xfId="0" applyFont="1" applyFill="1" applyBorder="1" applyAlignment="1">
      <alignment horizontal="center" vertical="center"/>
    </xf>
    <xf numFmtId="0" fontId="4" fillId="117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17" fontId="0" fillId="3" borderId="1" xfId="0" applyNumberFormat="1" applyFill="1" applyBorder="1" applyAlignment="1">
      <alignment vertical="top" wrapText="1"/>
    </xf>
    <xf numFmtId="0" fontId="4" fillId="1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6"/>
  <sheetViews>
    <sheetView tabSelected="1" workbookViewId="0">
      <pane ySplit="1" topLeftCell="A335" activePane="bottomLeft" state="frozen"/>
      <selection pane="bottomLeft" activeCell="D346" sqref="D346"/>
    </sheetView>
  </sheetViews>
  <sheetFormatPr baseColWidth="10" defaultColWidth="8.83203125" defaultRowHeight="15" x14ac:dyDescent="0.2"/>
  <cols>
    <col min="1" max="1" width="12.6640625" customWidth="1"/>
    <col min="2" max="2" width="20" customWidth="1"/>
    <col min="3" max="3" width="90" customWidth="1"/>
    <col min="4" max="4" width="13" customWidth="1"/>
  </cols>
  <sheetData>
    <row r="1" spans="1:4" ht="30" customHeight="1" x14ac:dyDescent="0.2">
      <c r="A1" s="1" t="s">
        <v>0</v>
      </c>
      <c r="B1" s="1" t="s">
        <v>2</v>
      </c>
      <c r="C1" s="1" t="s">
        <v>3</v>
      </c>
      <c r="D1" s="1" t="s">
        <v>435</v>
      </c>
    </row>
    <row r="2" spans="1:4" ht="40" customHeight="1" x14ac:dyDescent="0.2">
      <c r="A2" s="141">
        <v>46143</v>
      </c>
      <c r="B2" s="2" t="s">
        <v>4</v>
      </c>
      <c r="C2" s="3" t="s">
        <v>5</v>
      </c>
      <c r="D2">
        <v>24.5</v>
      </c>
    </row>
    <row r="3" spans="1:4" ht="40" customHeight="1" x14ac:dyDescent="0.2">
      <c r="A3" s="141">
        <v>46174</v>
      </c>
      <c r="B3" s="4" t="s">
        <v>25</v>
      </c>
      <c r="C3" s="5" t="s">
        <v>26</v>
      </c>
      <c r="D3">
        <v>24.5</v>
      </c>
    </row>
    <row r="4" spans="1:4" ht="40" customHeight="1" x14ac:dyDescent="0.2">
      <c r="A4" s="141">
        <v>46204</v>
      </c>
      <c r="B4" s="6" t="s">
        <v>43</v>
      </c>
      <c r="C4" s="7" t="s">
        <v>44</v>
      </c>
      <c r="D4">
        <v>24.5</v>
      </c>
    </row>
    <row r="5" spans="1:4" ht="40" customHeight="1" x14ac:dyDescent="0.2">
      <c r="A5" s="141">
        <v>46235</v>
      </c>
      <c r="B5" s="8" t="s">
        <v>61</v>
      </c>
      <c r="C5" s="9" t="s">
        <v>62</v>
      </c>
      <c r="D5">
        <v>24.5</v>
      </c>
    </row>
    <row r="6" spans="1:4" ht="40" customHeight="1" x14ac:dyDescent="0.2">
      <c r="A6" s="141">
        <v>46266</v>
      </c>
      <c r="B6" s="10" t="s">
        <v>77</v>
      </c>
      <c r="C6" s="11" t="s">
        <v>78</v>
      </c>
      <c r="D6">
        <v>24.5</v>
      </c>
    </row>
    <row r="7" spans="1:4" ht="40" customHeight="1" x14ac:dyDescent="0.2">
      <c r="A7" s="141">
        <v>46296</v>
      </c>
      <c r="B7" s="12" t="s">
        <v>95</v>
      </c>
      <c r="C7" s="13" t="s">
        <v>96</v>
      </c>
      <c r="D7">
        <v>24.5</v>
      </c>
    </row>
    <row r="8" spans="1:4" ht="40" customHeight="1" x14ac:dyDescent="0.2">
      <c r="A8" s="141">
        <v>46327</v>
      </c>
      <c r="B8" s="14" t="s">
        <v>112</v>
      </c>
      <c r="C8" s="15" t="s">
        <v>113</v>
      </c>
      <c r="D8">
        <v>24.5</v>
      </c>
    </row>
    <row r="9" spans="1:4" ht="40" customHeight="1" x14ac:dyDescent="0.2">
      <c r="A9" s="141">
        <v>46357</v>
      </c>
      <c r="B9" s="16" t="s">
        <v>130</v>
      </c>
      <c r="C9" s="17" t="s">
        <v>131</v>
      </c>
      <c r="D9">
        <v>24.5</v>
      </c>
    </row>
    <row r="10" spans="1:4" ht="40" customHeight="1" x14ac:dyDescent="0.2">
      <c r="A10" s="141">
        <v>46388</v>
      </c>
      <c r="B10" s="18" t="s">
        <v>148</v>
      </c>
      <c r="C10" s="19" t="s">
        <v>149</v>
      </c>
      <c r="D10">
        <v>24.5</v>
      </c>
    </row>
    <row r="11" spans="1:4" ht="40" customHeight="1" x14ac:dyDescent="0.2">
      <c r="A11" s="141">
        <v>46419</v>
      </c>
      <c r="B11" s="20" t="s">
        <v>166</v>
      </c>
      <c r="C11" s="21" t="s">
        <v>167</v>
      </c>
      <c r="D11">
        <v>24.5</v>
      </c>
    </row>
    <row r="12" spans="1:4" ht="40" customHeight="1" x14ac:dyDescent="0.2">
      <c r="A12" s="141">
        <v>46447</v>
      </c>
      <c r="B12" s="22" t="s">
        <v>183</v>
      </c>
      <c r="C12" s="23" t="s">
        <v>184</v>
      </c>
      <c r="D12">
        <v>24.5</v>
      </c>
    </row>
    <row r="13" spans="1:4" ht="40" customHeight="1" x14ac:dyDescent="0.2">
      <c r="A13" s="141">
        <v>46478</v>
      </c>
      <c r="B13" s="24" t="s">
        <v>200</v>
      </c>
      <c r="C13" s="25" t="s">
        <v>201</v>
      </c>
      <c r="D13">
        <v>24.5</v>
      </c>
    </row>
    <row r="14" spans="1:4" ht="40" customHeight="1" x14ac:dyDescent="0.2">
      <c r="A14" s="141">
        <v>46508</v>
      </c>
      <c r="B14" s="26" t="s">
        <v>217</v>
      </c>
      <c r="C14" s="27" t="s">
        <v>218</v>
      </c>
      <c r="D14">
        <v>24.5</v>
      </c>
    </row>
    <row r="15" spans="1:4" ht="40" customHeight="1" x14ac:dyDescent="0.2">
      <c r="A15" s="141">
        <v>46539</v>
      </c>
      <c r="B15" s="28" t="s">
        <v>234</v>
      </c>
      <c r="C15" s="29" t="s">
        <v>235</v>
      </c>
      <c r="D15">
        <v>24.5</v>
      </c>
    </row>
    <row r="16" spans="1:4" ht="40" customHeight="1" x14ac:dyDescent="0.2">
      <c r="A16" s="141">
        <v>46569</v>
      </c>
      <c r="B16" s="2" t="s">
        <v>4</v>
      </c>
      <c r="C16" s="3" t="s">
        <v>6</v>
      </c>
      <c r="D16">
        <v>24.6</v>
      </c>
    </row>
    <row r="17" spans="1:4" ht="40" customHeight="1" x14ac:dyDescent="0.2">
      <c r="A17" s="141">
        <v>46600</v>
      </c>
      <c r="B17" s="2" t="s">
        <v>4</v>
      </c>
      <c r="C17" s="3" t="s">
        <v>7</v>
      </c>
      <c r="D17">
        <v>24.6</v>
      </c>
    </row>
    <row r="18" spans="1:4" ht="40" customHeight="1" x14ac:dyDescent="0.2">
      <c r="A18" s="141">
        <v>46631</v>
      </c>
      <c r="B18" s="4" t="s">
        <v>25</v>
      </c>
      <c r="C18" s="5" t="s">
        <v>27</v>
      </c>
      <c r="D18">
        <v>24.6</v>
      </c>
    </row>
    <row r="19" spans="1:4" ht="40" customHeight="1" x14ac:dyDescent="0.2">
      <c r="A19" s="141">
        <v>46661</v>
      </c>
      <c r="B19" s="6" t="s">
        <v>43</v>
      </c>
      <c r="C19" s="7" t="s">
        <v>45</v>
      </c>
      <c r="D19">
        <v>24.7</v>
      </c>
    </row>
    <row r="20" spans="1:4" ht="40" customHeight="1" x14ac:dyDescent="0.2">
      <c r="A20" s="141">
        <v>46692</v>
      </c>
      <c r="B20" s="8" t="s">
        <v>61</v>
      </c>
      <c r="C20" s="9" t="s">
        <v>63</v>
      </c>
      <c r="D20">
        <v>24.7</v>
      </c>
    </row>
    <row r="21" spans="1:4" ht="40" customHeight="1" x14ac:dyDescent="0.2">
      <c r="A21" s="141">
        <v>46722</v>
      </c>
      <c r="B21" s="10" t="s">
        <v>77</v>
      </c>
      <c r="C21" s="11" t="s">
        <v>79</v>
      </c>
      <c r="D21">
        <v>24.7</v>
      </c>
    </row>
    <row r="22" spans="1:4" ht="40" customHeight="1" x14ac:dyDescent="0.2">
      <c r="A22" s="141">
        <v>46753</v>
      </c>
      <c r="B22" s="12" t="s">
        <v>95</v>
      </c>
      <c r="C22" s="13" t="s">
        <v>97</v>
      </c>
      <c r="D22">
        <v>24.8</v>
      </c>
    </row>
    <row r="23" spans="1:4" ht="40" customHeight="1" x14ac:dyDescent="0.2">
      <c r="A23" s="141">
        <v>46784</v>
      </c>
      <c r="B23" s="14" t="s">
        <v>112</v>
      </c>
      <c r="C23" s="15" t="s">
        <v>114</v>
      </c>
      <c r="D23">
        <v>24.8</v>
      </c>
    </row>
    <row r="24" spans="1:4" ht="40" customHeight="1" x14ac:dyDescent="0.2">
      <c r="A24" s="141">
        <v>46813</v>
      </c>
      <c r="B24" s="16" t="s">
        <v>130</v>
      </c>
      <c r="C24" s="17" t="s">
        <v>132</v>
      </c>
      <c r="D24">
        <v>24.8</v>
      </c>
    </row>
    <row r="25" spans="1:4" ht="40" customHeight="1" x14ac:dyDescent="0.2">
      <c r="A25" s="141">
        <v>46844</v>
      </c>
      <c r="B25" s="18" t="s">
        <v>148</v>
      </c>
      <c r="C25" s="19" t="s">
        <v>150</v>
      </c>
      <c r="D25">
        <v>25</v>
      </c>
    </row>
    <row r="26" spans="1:4" ht="40" customHeight="1" x14ac:dyDescent="0.2">
      <c r="A26" s="141">
        <v>46874</v>
      </c>
      <c r="B26" s="20" t="s">
        <v>166</v>
      </c>
      <c r="C26" s="21" t="s">
        <v>168</v>
      </c>
      <c r="D26">
        <v>25</v>
      </c>
    </row>
    <row r="27" spans="1:4" ht="40" customHeight="1" x14ac:dyDescent="0.2">
      <c r="A27" s="141">
        <v>46905</v>
      </c>
      <c r="B27" s="22" t="s">
        <v>183</v>
      </c>
      <c r="C27" s="23" t="s">
        <v>185</v>
      </c>
      <c r="D27">
        <v>25</v>
      </c>
    </row>
    <row r="28" spans="1:4" ht="40" customHeight="1" x14ac:dyDescent="0.2">
      <c r="A28" s="141">
        <v>46935</v>
      </c>
      <c r="B28" s="24" t="s">
        <v>200</v>
      </c>
      <c r="C28" s="25" t="s">
        <v>202</v>
      </c>
      <c r="D28">
        <v>25.1</v>
      </c>
    </row>
    <row r="29" spans="1:4" ht="40" customHeight="1" x14ac:dyDescent="0.2">
      <c r="A29" s="141">
        <v>46966</v>
      </c>
      <c r="B29" s="26" t="s">
        <v>217</v>
      </c>
      <c r="C29" s="27" t="s">
        <v>219</v>
      </c>
      <c r="D29">
        <v>25.1</v>
      </c>
    </row>
    <row r="30" spans="1:4" ht="40" customHeight="1" x14ac:dyDescent="0.2">
      <c r="A30" s="141">
        <v>46997</v>
      </c>
      <c r="B30" s="28" t="s">
        <v>234</v>
      </c>
      <c r="C30" s="29" t="s">
        <v>236</v>
      </c>
      <c r="D30">
        <v>25.1</v>
      </c>
    </row>
    <row r="31" spans="1:4" ht="40" customHeight="1" x14ac:dyDescent="0.2">
      <c r="A31" s="141">
        <v>47027</v>
      </c>
      <c r="B31" s="2" t="s">
        <v>4</v>
      </c>
      <c r="C31" s="3" t="s">
        <v>8</v>
      </c>
      <c r="D31">
        <v>25.3</v>
      </c>
    </row>
    <row r="32" spans="1:4" ht="40" customHeight="1" x14ac:dyDescent="0.2">
      <c r="A32" s="141">
        <v>47058</v>
      </c>
      <c r="B32" s="2" t="s">
        <v>4</v>
      </c>
      <c r="C32" s="3" t="s">
        <v>9</v>
      </c>
      <c r="D32">
        <v>25.3</v>
      </c>
    </row>
    <row r="33" spans="1:4" ht="40" customHeight="1" x14ac:dyDescent="0.2">
      <c r="A33" s="141">
        <v>47088</v>
      </c>
      <c r="B33" s="4" t="s">
        <v>25</v>
      </c>
      <c r="C33" s="5" t="s">
        <v>28</v>
      </c>
      <c r="D33">
        <v>25.3</v>
      </c>
    </row>
    <row r="34" spans="1:4" ht="40" customHeight="1" x14ac:dyDescent="0.2">
      <c r="A34" s="141">
        <v>47119</v>
      </c>
      <c r="B34" s="6" t="s">
        <v>43</v>
      </c>
      <c r="C34" s="7" t="s">
        <v>46</v>
      </c>
      <c r="D34">
        <v>25.5</v>
      </c>
    </row>
    <row r="35" spans="1:4" ht="40" customHeight="1" x14ac:dyDescent="0.2">
      <c r="A35" s="141">
        <v>47150</v>
      </c>
      <c r="B35" s="8" t="s">
        <v>61</v>
      </c>
      <c r="C35" s="9" t="s">
        <v>64</v>
      </c>
      <c r="D35">
        <v>25.5</v>
      </c>
    </row>
    <row r="36" spans="1:4" ht="40" customHeight="1" x14ac:dyDescent="0.2">
      <c r="A36" s="141">
        <v>47178</v>
      </c>
      <c r="B36" s="10" t="s">
        <v>77</v>
      </c>
      <c r="C36" s="11" t="s">
        <v>80</v>
      </c>
      <c r="D36">
        <v>25.5</v>
      </c>
    </row>
    <row r="37" spans="1:4" ht="40" customHeight="1" x14ac:dyDescent="0.2">
      <c r="A37" s="141">
        <v>47209</v>
      </c>
      <c r="B37" s="12" t="s">
        <v>95</v>
      </c>
      <c r="C37" s="13" t="s">
        <v>98</v>
      </c>
      <c r="D37">
        <v>25.7</v>
      </c>
    </row>
    <row r="38" spans="1:4" ht="40" customHeight="1" x14ac:dyDescent="0.2">
      <c r="A38" s="141">
        <v>47239</v>
      </c>
      <c r="B38" s="14" t="s">
        <v>112</v>
      </c>
      <c r="C38" s="15" t="s">
        <v>115</v>
      </c>
      <c r="D38">
        <v>25.7</v>
      </c>
    </row>
    <row r="39" spans="1:4" ht="40" customHeight="1" x14ac:dyDescent="0.2">
      <c r="A39" s="141">
        <v>47270</v>
      </c>
      <c r="B39" s="16" t="s">
        <v>130</v>
      </c>
      <c r="C39" s="17" t="s">
        <v>133</v>
      </c>
      <c r="D39">
        <v>25.7</v>
      </c>
    </row>
    <row r="40" spans="1:4" ht="40" customHeight="1" x14ac:dyDescent="0.2">
      <c r="A40" s="141">
        <v>47300</v>
      </c>
      <c r="B40" s="18" t="s">
        <v>148</v>
      </c>
      <c r="C40" s="19" t="s">
        <v>151</v>
      </c>
      <c r="D40">
        <v>26</v>
      </c>
    </row>
    <row r="41" spans="1:4" ht="40" customHeight="1" x14ac:dyDescent="0.2">
      <c r="A41" s="141">
        <v>47331</v>
      </c>
      <c r="B41" s="20" t="s">
        <v>166</v>
      </c>
      <c r="C41" s="21" t="s">
        <v>169</v>
      </c>
      <c r="D41">
        <v>26</v>
      </c>
    </row>
    <row r="42" spans="1:4" ht="40" customHeight="1" x14ac:dyDescent="0.2">
      <c r="A42" s="141">
        <v>47362</v>
      </c>
      <c r="B42" s="22" t="s">
        <v>183</v>
      </c>
      <c r="C42" s="23" t="s">
        <v>186</v>
      </c>
      <c r="D42">
        <v>26</v>
      </c>
    </row>
    <row r="43" spans="1:4" ht="40" customHeight="1" x14ac:dyDescent="0.2">
      <c r="A43" s="141">
        <v>47392</v>
      </c>
      <c r="B43" s="24" t="s">
        <v>200</v>
      </c>
      <c r="C43" s="25" t="s">
        <v>203</v>
      </c>
      <c r="D43">
        <v>26.2</v>
      </c>
    </row>
    <row r="44" spans="1:4" ht="40" customHeight="1" x14ac:dyDescent="0.2">
      <c r="A44" s="141">
        <v>47423</v>
      </c>
      <c r="B44" s="26" t="s">
        <v>217</v>
      </c>
      <c r="C44" s="27" t="s">
        <v>220</v>
      </c>
      <c r="D44">
        <v>26.2</v>
      </c>
    </row>
    <row r="45" spans="1:4" ht="40" customHeight="1" x14ac:dyDescent="0.2">
      <c r="A45" s="141">
        <v>47453</v>
      </c>
      <c r="B45" s="28" t="s">
        <v>234</v>
      </c>
      <c r="C45" s="29" t="s">
        <v>237</v>
      </c>
      <c r="D45">
        <v>26.2</v>
      </c>
    </row>
    <row r="46" spans="1:4" ht="40" customHeight="1" x14ac:dyDescent="0.2">
      <c r="A46" s="141">
        <v>47484</v>
      </c>
      <c r="B46" s="2" t="s">
        <v>4</v>
      </c>
      <c r="C46" s="3" t="s">
        <v>10</v>
      </c>
      <c r="D46">
        <v>26.5</v>
      </c>
    </row>
    <row r="47" spans="1:4" ht="40" customHeight="1" x14ac:dyDescent="0.2">
      <c r="A47" s="141">
        <v>47515</v>
      </c>
      <c r="B47" s="2" t="s">
        <v>4</v>
      </c>
      <c r="C47" s="3" t="s">
        <v>11</v>
      </c>
      <c r="D47">
        <v>26.5</v>
      </c>
    </row>
    <row r="48" spans="1:4" ht="40" customHeight="1" x14ac:dyDescent="0.2">
      <c r="A48" s="141">
        <v>47543</v>
      </c>
      <c r="B48" s="4" t="s">
        <v>25</v>
      </c>
      <c r="C48" s="5" t="s">
        <v>29</v>
      </c>
      <c r="D48">
        <v>26.5</v>
      </c>
    </row>
    <row r="49" spans="1:4" ht="40" customHeight="1" x14ac:dyDescent="0.2">
      <c r="A49" s="141">
        <v>47574</v>
      </c>
      <c r="B49" s="6" t="s">
        <v>43</v>
      </c>
      <c r="C49" s="7" t="s">
        <v>47</v>
      </c>
      <c r="D49">
        <v>26.8</v>
      </c>
    </row>
    <row r="50" spans="1:4" ht="40" customHeight="1" x14ac:dyDescent="0.2">
      <c r="A50" s="141">
        <v>47604</v>
      </c>
      <c r="B50" s="8" t="s">
        <v>61</v>
      </c>
      <c r="C50" s="9" t="s">
        <v>65</v>
      </c>
      <c r="D50">
        <v>26.8</v>
      </c>
    </row>
    <row r="51" spans="1:4" ht="40" customHeight="1" x14ac:dyDescent="0.2">
      <c r="A51" s="141">
        <v>47635</v>
      </c>
      <c r="B51" s="10" t="s">
        <v>77</v>
      </c>
      <c r="C51" s="11" t="s">
        <v>81</v>
      </c>
      <c r="D51">
        <v>26.8</v>
      </c>
    </row>
    <row r="52" spans="1:4" ht="40" customHeight="1" x14ac:dyDescent="0.2">
      <c r="A52" s="141">
        <v>47665</v>
      </c>
      <c r="B52" s="12" t="s">
        <v>95</v>
      </c>
      <c r="C52" s="13" t="s">
        <v>99</v>
      </c>
      <c r="D52">
        <v>27.2</v>
      </c>
    </row>
    <row r="53" spans="1:4" ht="40" customHeight="1" x14ac:dyDescent="0.2">
      <c r="A53" s="141">
        <v>47696</v>
      </c>
      <c r="B53" s="14" t="s">
        <v>112</v>
      </c>
      <c r="C53" s="15" t="s">
        <v>116</v>
      </c>
      <c r="D53">
        <v>27.2</v>
      </c>
    </row>
    <row r="54" spans="1:4" ht="40" customHeight="1" x14ac:dyDescent="0.2">
      <c r="A54" s="141">
        <v>47727</v>
      </c>
      <c r="B54" s="16" t="s">
        <v>130</v>
      </c>
      <c r="C54" s="17" t="s">
        <v>134</v>
      </c>
      <c r="D54">
        <v>27.2</v>
      </c>
    </row>
    <row r="55" spans="1:4" ht="40" customHeight="1" x14ac:dyDescent="0.2">
      <c r="A55" s="141">
        <v>47757</v>
      </c>
      <c r="B55" s="18" t="s">
        <v>148</v>
      </c>
      <c r="C55" s="19" t="s">
        <v>152</v>
      </c>
      <c r="D55">
        <v>27.5</v>
      </c>
    </row>
    <row r="56" spans="1:4" ht="40" customHeight="1" x14ac:dyDescent="0.2">
      <c r="A56" s="141">
        <v>47788</v>
      </c>
      <c r="B56" s="20" t="s">
        <v>166</v>
      </c>
      <c r="C56" s="21" t="s">
        <v>170</v>
      </c>
      <c r="D56">
        <v>27.5</v>
      </c>
    </row>
    <row r="57" spans="1:4" ht="40" customHeight="1" x14ac:dyDescent="0.2">
      <c r="A57" s="141">
        <v>47818</v>
      </c>
      <c r="B57" s="22" t="s">
        <v>183</v>
      </c>
      <c r="C57" s="23" t="s">
        <v>187</v>
      </c>
      <c r="D57">
        <v>27.5</v>
      </c>
    </row>
    <row r="58" spans="1:4" ht="40" customHeight="1" x14ac:dyDescent="0.2">
      <c r="A58" s="141">
        <v>47849</v>
      </c>
      <c r="B58" s="24" t="s">
        <v>200</v>
      </c>
      <c r="C58" s="25" t="s">
        <v>204</v>
      </c>
      <c r="D58">
        <v>27.9</v>
      </c>
    </row>
    <row r="59" spans="1:4" ht="40" customHeight="1" x14ac:dyDescent="0.2">
      <c r="A59" s="141">
        <v>47880</v>
      </c>
      <c r="B59" s="26" t="s">
        <v>217</v>
      </c>
      <c r="C59" s="27" t="s">
        <v>221</v>
      </c>
      <c r="D59">
        <v>27.9</v>
      </c>
    </row>
    <row r="60" spans="1:4" ht="40" customHeight="1" x14ac:dyDescent="0.2">
      <c r="A60" s="141">
        <v>47908</v>
      </c>
      <c r="B60" s="28" t="s">
        <v>234</v>
      </c>
      <c r="C60" s="29" t="s">
        <v>238</v>
      </c>
      <c r="D60">
        <v>27.9</v>
      </c>
    </row>
    <row r="61" spans="1:4" ht="40" customHeight="1" x14ac:dyDescent="0.2">
      <c r="A61" s="141">
        <v>47939</v>
      </c>
      <c r="B61" s="2" t="s">
        <v>4</v>
      </c>
      <c r="C61" s="3" t="s">
        <v>12</v>
      </c>
      <c r="D61">
        <v>28.2</v>
      </c>
    </row>
    <row r="62" spans="1:4" ht="40" customHeight="1" x14ac:dyDescent="0.2">
      <c r="A62" s="141">
        <v>47969</v>
      </c>
      <c r="B62" s="2" t="s">
        <v>4</v>
      </c>
      <c r="C62" s="3" t="s">
        <v>13</v>
      </c>
      <c r="D62">
        <v>28.2</v>
      </c>
    </row>
    <row r="63" spans="1:4" ht="40" customHeight="1" x14ac:dyDescent="0.2">
      <c r="A63" s="141">
        <v>48000</v>
      </c>
      <c r="B63" s="4" t="s">
        <v>25</v>
      </c>
      <c r="C63" s="5" t="s">
        <v>30</v>
      </c>
      <c r="D63">
        <v>28.2</v>
      </c>
    </row>
    <row r="64" spans="1:4" ht="40" customHeight="1" x14ac:dyDescent="0.2">
      <c r="A64" s="141">
        <v>48030</v>
      </c>
      <c r="B64" s="12" t="s">
        <v>95</v>
      </c>
      <c r="C64" s="13" t="s">
        <v>100</v>
      </c>
      <c r="D64">
        <v>28.6</v>
      </c>
    </row>
    <row r="65" spans="1:4" ht="40" customHeight="1" x14ac:dyDescent="0.2">
      <c r="A65" s="141">
        <v>48061</v>
      </c>
      <c r="B65" s="6" t="s">
        <v>43</v>
      </c>
      <c r="C65" s="7" t="s">
        <v>48</v>
      </c>
      <c r="D65">
        <v>28.6</v>
      </c>
    </row>
    <row r="66" spans="1:4" ht="40" customHeight="1" x14ac:dyDescent="0.2">
      <c r="A66" s="141">
        <v>48092</v>
      </c>
      <c r="B66" s="10" t="s">
        <v>77</v>
      </c>
      <c r="C66" s="11" t="s">
        <v>82</v>
      </c>
      <c r="D66">
        <v>28.6</v>
      </c>
    </row>
    <row r="67" spans="1:4" ht="40" customHeight="1" x14ac:dyDescent="0.2">
      <c r="A67" s="141">
        <v>48122</v>
      </c>
      <c r="B67" s="14" t="s">
        <v>112</v>
      </c>
      <c r="C67" s="15" t="s">
        <v>117</v>
      </c>
      <c r="D67">
        <v>29</v>
      </c>
    </row>
    <row r="68" spans="1:4" ht="40" customHeight="1" x14ac:dyDescent="0.2">
      <c r="A68" s="141">
        <v>48153</v>
      </c>
      <c r="B68" s="16" t="s">
        <v>130</v>
      </c>
      <c r="C68" s="17" t="s">
        <v>135</v>
      </c>
      <c r="D68">
        <v>29</v>
      </c>
    </row>
    <row r="69" spans="1:4" ht="40" customHeight="1" x14ac:dyDescent="0.2">
      <c r="A69" s="141">
        <v>48183</v>
      </c>
      <c r="B69" s="18" t="s">
        <v>148</v>
      </c>
      <c r="C69" s="19" t="s">
        <v>153</v>
      </c>
      <c r="D69">
        <v>29</v>
      </c>
    </row>
    <row r="70" spans="1:4" ht="40" customHeight="1" x14ac:dyDescent="0.2">
      <c r="A70" s="141">
        <v>48214</v>
      </c>
      <c r="B70" s="20" t="s">
        <v>166</v>
      </c>
      <c r="C70" s="21" t="s">
        <v>171</v>
      </c>
      <c r="D70">
        <v>29.5</v>
      </c>
    </row>
    <row r="71" spans="1:4" ht="40" customHeight="1" x14ac:dyDescent="0.2">
      <c r="A71" s="141">
        <v>48245</v>
      </c>
      <c r="B71" s="22" t="s">
        <v>183</v>
      </c>
      <c r="C71" s="23" t="s">
        <v>188</v>
      </c>
      <c r="D71">
        <v>29.5</v>
      </c>
    </row>
    <row r="72" spans="1:4" ht="40" customHeight="1" x14ac:dyDescent="0.2">
      <c r="A72" s="141">
        <v>48274</v>
      </c>
      <c r="B72" s="24" t="s">
        <v>200</v>
      </c>
      <c r="C72" s="25" t="s">
        <v>205</v>
      </c>
      <c r="D72">
        <v>29.5</v>
      </c>
    </row>
    <row r="73" spans="1:4" ht="40" customHeight="1" x14ac:dyDescent="0.2">
      <c r="A73" s="141">
        <v>48305</v>
      </c>
      <c r="B73" s="26" t="s">
        <v>217</v>
      </c>
      <c r="C73" s="27" t="s">
        <v>222</v>
      </c>
      <c r="D73">
        <v>29.9</v>
      </c>
    </row>
    <row r="74" spans="1:4" ht="40" customHeight="1" x14ac:dyDescent="0.2">
      <c r="A74" s="141">
        <v>48335</v>
      </c>
      <c r="B74" s="28" t="s">
        <v>234</v>
      </c>
      <c r="C74" s="29" t="s">
        <v>239</v>
      </c>
      <c r="D74">
        <v>29.9</v>
      </c>
    </row>
    <row r="75" spans="1:4" ht="40" customHeight="1" x14ac:dyDescent="0.2">
      <c r="A75" s="141">
        <v>48366</v>
      </c>
      <c r="B75" s="8" t="s">
        <v>61</v>
      </c>
      <c r="C75" s="9" t="s">
        <v>66</v>
      </c>
      <c r="D75">
        <v>29.9</v>
      </c>
    </row>
    <row r="76" spans="1:4" ht="40" customHeight="1" x14ac:dyDescent="0.2">
      <c r="A76" s="141">
        <v>48396</v>
      </c>
      <c r="B76" s="2" t="s">
        <v>4</v>
      </c>
      <c r="C76" s="3" t="s">
        <v>251</v>
      </c>
      <c r="D76">
        <v>30.4</v>
      </c>
    </row>
    <row r="77" spans="1:4" ht="40" customHeight="1" x14ac:dyDescent="0.2">
      <c r="A77" s="141">
        <v>48427</v>
      </c>
      <c r="B77" s="14" t="s">
        <v>112</v>
      </c>
      <c r="C77" s="15" t="s">
        <v>298</v>
      </c>
      <c r="D77">
        <v>30.4</v>
      </c>
    </row>
    <row r="78" spans="1:4" ht="40" customHeight="1" x14ac:dyDescent="0.2">
      <c r="A78" s="141">
        <v>48458</v>
      </c>
      <c r="B78" s="18" t="s">
        <v>148</v>
      </c>
      <c r="C78" s="19" t="s">
        <v>314</v>
      </c>
      <c r="D78">
        <v>30.4</v>
      </c>
    </row>
    <row r="79" spans="1:4" ht="40" customHeight="1" x14ac:dyDescent="0.2">
      <c r="A79" s="141">
        <v>48488</v>
      </c>
      <c r="B79" s="20" t="s">
        <v>166</v>
      </c>
      <c r="C79" s="21" t="s">
        <v>322</v>
      </c>
      <c r="D79">
        <v>30.8</v>
      </c>
    </row>
    <row r="80" spans="1:4" ht="40" customHeight="1" x14ac:dyDescent="0.2">
      <c r="A80" s="141">
        <v>48519</v>
      </c>
      <c r="B80" s="22" t="s">
        <v>183</v>
      </c>
      <c r="C80" s="23" t="s">
        <v>330</v>
      </c>
      <c r="D80">
        <v>30.8</v>
      </c>
    </row>
    <row r="81" spans="1:4" ht="40" customHeight="1" x14ac:dyDescent="0.2">
      <c r="A81" s="141">
        <v>48549</v>
      </c>
      <c r="B81" s="24" t="s">
        <v>200</v>
      </c>
      <c r="C81" s="25" t="s">
        <v>338</v>
      </c>
      <c r="D81">
        <v>30.8</v>
      </c>
    </row>
    <row r="82" spans="1:4" ht="40" customHeight="1" x14ac:dyDescent="0.2">
      <c r="A82" s="141">
        <v>48580</v>
      </c>
      <c r="B82" s="26" t="s">
        <v>217</v>
      </c>
      <c r="C82" s="27" t="s">
        <v>346</v>
      </c>
      <c r="D82">
        <v>31.3</v>
      </c>
    </row>
    <row r="83" spans="1:4" ht="40" customHeight="1" x14ac:dyDescent="0.2">
      <c r="A83" s="141">
        <v>48611</v>
      </c>
      <c r="B83" s="28" t="s">
        <v>234</v>
      </c>
      <c r="C83" s="29" t="s">
        <v>354</v>
      </c>
      <c r="D83">
        <v>31.3</v>
      </c>
    </row>
    <row r="84" spans="1:4" ht="40" customHeight="1" x14ac:dyDescent="0.2">
      <c r="A84" s="141">
        <v>48639</v>
      </c>
      <c r="B84" s="4" t="s">
        <v>25</v>
      </c>
      <c r="C84" s="5" t="s">
        <v>31</v>
      </c>
      <c r="D84">
        <v>31.3</v>
      </c>
    </row>
    <row r="85" spans="1:4" ht="40" customHeight="1" x14ac:dyDescent="0.2">
      <c r="A85" s="141">
        <v>48670</v>
      </c>
      <c r="B85" s="12" t="s">
        <v>95</v>
      </c>
      <c r="C85" s="13" t="s">
        <v>101</v>
      </c>
      <c r="D85">
        <v>31.8</v>
      </c>
    </row>
    <row r="86" spans="1:4" ht="40" customHeight="1" x14ac:dyDescent="0.2">
      <c r="A86" s="141">
        <v>48700</v>
      </c>
      <c r="B86" s="2" t="s">
        <v>4</v>
      </c>
      <c r="C86" s="3" t="s">
        <v>14</v>
      </c>
      <c r="D86">
        <v>31.8</v>
      </c>
    </row>
    <row r="87" spans="1:4" ht="40" customHeight="1" x14ac:dyDescent="0.2">
      <c r="A87" s="141">
        <v>48731</v>
      </c>
      <c r="B87" s="6" t="s">
        <v>43</v>
      </c>
      <c r="C87" s="7" t="s">
        <v>49</v>
      </c>
      <c r="D87">
        <v>31.8</v>
      </c>
    </row>
    <row r="88" spans="1:4" ht="40" customHeight="1" x14ac:dyDescent="0.2">
      <c r="A88" s="141">
        <v>48761</v>
      </c>
      <c r="B88" s="10" t="s">
        <v>77</v>
      </c>
      <c r="C88" s="11" t="s">
        <v>83</v>
      </c>
      <c r="D88">
        <v>32.299999999999997</v>
      </c>
    </row>
    <row r="89" spans="1:4" ht="40" customHeight="1" x14ac:dyDescent="0.2">
      <c r="A89" s="141">
        <v>48792</v>
      </c>
      <c r="B89" s="14" t="s">
        <v>112</v>
      </c>
      <c r="C89" s="15" t="s">
        <v>118</v>
      </c>
      <c r="D89">
        <v>32.299999999999997</v>
      </c>
    </row>
    <row r="90" spans="1:4" ht="40" customHeight="1" x14ac:dyDescent="0.2">
      <c r="A90" s="141">
        <v>48823</v>
      </c>
      <c r="B90" s="16" t="s">
        <v>130</v>
      </c>
      <c r="C90" s="17" t="s">
        <v>136</v>
      </c>
      <c r="D90">
        <v>32.299999999999997</v>
      </c>
    </row>
    <row r="91" spans="1:4" ht="40" customHeight="1" x14ac:dyDescent="0.2">
      <c r="A91" s="141">
        <v>48853</v>
      </c>
      <c r="B91" s="16" t="s">
        <v>130</v>
      </c>
      <c r="C91" s="17" t="s">
        <v>154</v>
      </c>
      <c r="D91">
        <v>32.9</v>
      </c>
    </row>
    <row r="92" spans="1:4" ht="40" customHeight="1" x14ac:dyDescent="0.2">
      <c r="A92" s="141">
        <v>48884</v>
      </c>
      <c r="B92" s="24" t="s">
        <v>200</v>
      </c>
      <c r="C92" s="25" t="s">
        <v>206</v>
      </c>
      <c r="D92">
        <v>32.9</v>
      </c>
    </row>
    <row r="93" spans="1:4" ht="40" customHeight="1" x14ac:dyDescent="0.2">
      <c r="A93" s="141">
        <v>48914</v>
      </c>
      <c r="B93" s="8" t="s">
        <v>61</v>
      </c>
      <c r="C93" s="9" t="s">
        <v>67</v>
      </c>
      <c r="D93">
        <v>32.9</v>
      </c>
    </row>
    <row r="94" spans="1:4" ht="40" customHeight="1" x14ac:dyDescent="0.2">
      <c r="A94" s="141">
        <v>48945</v>
      </c>
      <c r="B94" s="20" t="s">
        <v>166</v>
      </c>
      <c r="C94" s="21" t="s">
        <v>172</v>
      </c>
      <c r="D94">
        <v>33.4</v>
      </c>
    </row>
    <row r="95" spans="1:4" ht="40" customHeight="1" x14ac:dyDescent="0.2">
      <c r="A95" s="141">
        <v>48976</v>
      </c>
      <c r="B95" s="22" t="s">
        <v>183</v>
      </c>
      <c r="C95" s="23" t="s">
        <v>189</v>
      </c>
      <c r="D95">
        <v>33.4</v>
      </c>
    </row>
    <row r="96" spans="1:4" ht="40" customHeight="1" x14ac:dyDescent="0.2">
      <c r="A96" s="141">
        <v>49004</v>
      </c>
      <c r="B96" s="26" t="s">
        <v>217</v>
      </c>
      <c r="C96" s="27" t="s">
        <v>223</v>
      </c>
      <c r="D96">
        <v>33.4</v>
      </c>
    </row>
    <row r="97" spans="1:4" ht="40" customHeight="1" x14ac:dyDescent="0.2">
      <c r="A97" s="141">
        <v>49035</v>
      </c>
      <c r="B97" s="28" t="s">
        <v>234</v>
      </c>
      <c r="C97" s="29" t="s">
        <v>240</v>
      </c>
      <c r="D97">
        <v>34</v>
      </c>
    </row>
    <row r="98" spans="1:4" ht="40" customHeight="1" x14ac:dyDescent="0.2">
      <c r="A98" s="141">
        <v>49065</v>
      </c>
      <c r="B98" s="18" t="s">
        <v>148</v>
      </c>
      <c r="C98" s="19" t="s">
        <v>155</v>
      </c>
      <c r="D98">
        <v>34</v>
      </c>
    </row>
    <row r="99" spans="1:4" ht="40" customHeight="1" x14ac:dyDescent="0.2">
      <c r="A99" s="141">
        <v>49096</v>
      </c>
      <c r="B99" s="16" t="s">
        <v>130</v>
      </c>
      <c r="C99" s="17" t="s">
        <v>306</v>
      </c>
      <c r="D99">
        <v>34</v>
      </c>
    </row>
    <row r="100" spans="1:4" ht="40" customHeight="1" x14ac:dyDescent="0.2">
      <c r="A100" s="141">
        <v>49126</v>
      </c>
      <c r="B100" s="4" t="s">
        <v>25</v>
      </c>
      <c r="C100" s="5" t="s">
        <v>32</v>
      </c>
      <c r="D100">
        <v>34.5</v>
      </c>
    </row>
    <row r="101" spans="1:4" ht="40" customHeight="1" x14ac:dyDescent="0.2">
      <c r="A101" s="141">
        <v>49157</v>
      </c>
      <c r="B101" s="12" t="s">
        <v>95</v>
      </c>
      <c r="C101" s="13" t="s">
        <v>102</v>
      </c>
      <c r="D101">
        <v>34.5</v>
      </c>
    </row>
    <row r="102" spans="1:4" ht="40" customHeight="1" x14ac:dyDescent="0.2">
      <c r="A102" s="141">
        <v>49188</v>
      </c>
      <c r="B102" s="6" t="s">
        <v>43</v>
      </c>
      <c r="C102" s="7" t="s">
        <v>50</v>
      </c>
      <c r="D102">
        <v>34.5</v>
      </c>
    </row>
    <row r="103" spans="1:4" ht="40" customHeight="1" x14ac:dyDescent="0.2">
      <c r="A103" s="141">
        <v>49218</v>
      </c>
      <c r="B103" s="10" t="s">
        <v>77</v>
      </c>
      <c r="C103" s="11" t="s">
        <v>84</v>
      </c>
      <c r="D103">
        <v>35.1</v>
      </c>
    </row>
    <row r="104" spans="1:4" ht="40" customHeight="1" x14ac:dyDescent="0.2">
      <c r="A104" s="141">
        <v>49249</v>
      </c>
      <c r="B104" s="14" t="s">
        <v>112</v>
      </c>
      <c r="C104" s="15" t="s">
        <v>119</v>
      </c>
      <c r="D104">
        <v>35.1</v>
      </c>
    </row>
    <row r="105" spans="1:4" ht="40" customHeight="1" x14ac:dyDescent="0.2">
      <c r="A105" s="141">
        <v>49279</v>
      </c>
      <c r="B105" s="16" t="s">
        <v>130</v>
      </c>
      <c r="C105" s="17" t="s">
        <v>137</v>
      </c>
      <c r="D105">
        <v>35.1</v>
      </c>
    </row>
    <row r="106" spans="1:4" ht="40" customHeight="1" x14ac:dyDescent="0.2">
      <c r="A106" s="141">
        <v>49310</v>
      </c>
      <c r="B106" s="24" t="s">
        <v>200</v>
      </c>
      <c r="C106" s="25" t="s">
        <v>207</v>
      </c>
      <c r="D106">
        <v>35.700000000000003</v>
      </c>
    </row>
    <row r="107" spans="1:4" ht="40" customHeight="1" x14ac:dyDescent="0.2">
      <c r="A107" s="141">
        <v>49341</v>
      </c>
      <c r="B107" s="20" t="s">
        <v>166</v>
      </c>
      <c r="C107" s="21" t="s">
        <v>173</v>
      </c>
      <c r="D107">
        <v>35.700000000000003</v>
      </c>
    </row>
    <row r="108" spans="1:4" ht="40" customHeight="1" x14ac:dyDescent="0.2">
      <c r="A108" s="141">
        <v>49369</v>
      </c>
      <c r="B108" s="22" t="s">
        <v>183</v>
      </c>
      <c r="C108" s="23" t="s">
        <v>190</v>
      </c>
      <c r="D108">
        <v>35.700000000000003</v>
      </c>
    </row>
    <row r="109" spans="1:4" ht="40" customHeight="1" x14ac:dyDescent="0.2">
      <c r="A109" s="141">
        <v>49400</v>
      </c>
      <c r="B109" s="26" t="s">
        <v>217</v>
      </c>
      <c r="C109" s="27" t="s">
        <v>224</v>
      </c>
      <c r="D109">
        <v>36.299999999999997</v>
      </c>
    </row>
    <row r="110" spans="1:4" ht="40" customHeight="1" x14ac:dyDescent="0.2">
      <c r="A110" s="141">
        <v>49430</v>
      </c>
      <c r="B110" s="28" t="s">
        <v>234</v>
      </c>
      <c r="C110" s="29" t="s">
        <v>241</v>
      </c>
      <c r="D110">
        <v>36.299999999999997</v>
      </c>
    </row>
    <row r="111" spans="1:4" ht="40" customHeight="1" x14ac:dyDescent="0.2">
      <c r="A111" s="141">
        <v>49461</v>
      </c>
      <c r="B111" s="8" t="s">
        <v>61</v>
      </c>
      <c r="C111" s="9" t="s">
        <v>274</v>
      </c>
      <c r="D111">
        <v>36.299999999999997</v>
      </c>
    </row>
    <row r="112" spans="1:4" ht="40" customHeight="1" x14ac:dyDescent="0.2">
      <c r="A112" s="141">
        <v>49491</v>
      </c>
      <c r="B112" s="8" t="s">
        <v>61</v>
      </c>
      <c r="C112" s="9" t="s">
        <v>68</v>
      </c>
      <c r="D112">
        <v>36.9</v>
      </c>
    </row>
    <row r="113" spans="1:4" ht="40" customHeight="1" x14ac:dyDescent="0.2">
      <c r="A113" s="141">
        <v>49522</v>
      </c>
      <c r="B113" s="18" t="s">
        <v>148</v>
      </c>
      <c r="C113" s="19" t="s">
        <v>156</v>
      </c>
      <c r="D113">
        <v>36.9</v>
      </c>
    </row>
    <row r="114" spans="1:4" ht="40" customHeight="1" x14ac:dyDescent="0.2">
      <c r="A114" s="141">
        <v>49553</v>
      </c>
      <c r="B114" s="2" t="s">
        <v>4</v>
      </c>
      <c r="C114" s="3" t="s">
        <v>252</v>
      </c>
      <c r="D114">
        <v>36.9</v>
      </c>
    </row>
    <row r="115" spans="1:4" ht="40" customHeight="1" x14ac:dyDescent="0.2">
      <c r="A115" s="141">
        <v>49583</v>
      </c>
      <c r="B115" s="12" t="s">
        <v>95</v>
      </c>
      <c r="C115" s="13" t="s">
        <v>103</v>
      </c>
      <c r="D115">
        <v>37.5</v>
      </c>
    </row>
    <row r="116" spans="1:4" ht="40" customHeight="1" x14ac:dyDescent="0.2">
      <c r="A116" s="141">
        <v>49614</v>
      </c>
      <c r="B116" s="6" t="s">
        <v>43</v>
      </c>
      <c r="C116" s="7" t="s">
        <v>265</v>
      </c>
      <c r="D116">
        <v>37.5</v>
      </c>
    </row>
    <row r="117" spans="1:4" ht="40" customHeight="1" x14ac:dyDescent="0.2">
      <c r="A117" s="141">
        <v>49644</v>
      </c>
      <c r="B117" s="2" t="s">
        <v>4</v>
      </c>
      <c r="C117" s="3" t="s">
        <v>15</v>
      </c>
      <c r="D117">
        <v>37.5</v>
      </c>
    </row>
    <row r="118" spans="1:4" ht="40" customHeight="1" x14ac:dyDescent="0.2">
      <c r="A118" s="141">
        <v>49675</v>
      </c>
      <c r="B118" s="4" t="s">
        <v>25</v>
      </c>
      <c r="C118" s="5" t="s">
        <v>33</v>
      </c>
      <c r="D118">
        <v>38.200000000000003</v>
      </c>
    </row>
    <row r="119" spans="1:4" ht="40" customHeight="1" x14ac:dyDescent="0.2">
      <c r="A119" s="141">
        <v>49706</v>
      </c>
      <c r="B119" s="10" t="s">
        <v>77</v>
      </c>
      <c r="C119" s="11" t="s">
        <v>85</v>
      </c>
      <c r="D119">
        <v>38.200000000000003</v>
      </c>
    </row>
    <row r="120" spans="1:4" ht="40" customHeight="1" x14ac:dyDescent="0.2">
      <c r="A120" s="141">
        <v>49735</v>
      </c>
      <c r="B120" s="14" t="s">
        <v>112</v>
      </c>
      <c r="C120" s="15" t="s">
        <v>120</v>
      </c>
      <c r="D120">
        <v>38.200000000000003</v>
      </c>
    </row>
    <row r="121" spans="1:4" ht="40" customHeight="1" x14ac:dyDescent="0.2">
      <c r="A121" s="141">
        <v>49766</v>
      </c>
      <c r="B121" s="6" t="s">
        <v>43</v>
      </c>
      <c r="C121" s="7" t="s">
        <v>51</v>
      </c>
      <c r="D121">
        <v>38.799999999999997</v>
      </c>
    </row>
    <row r="122" spans="1:4" ht="40" customHeight="1" x14ac:dyDescent="0.2">
      <c r="A122" s="141">
        <v>49796</v>
      </c>
      <c r="B122" s="16" t="s">
        <v>130</v>
      </c>
      <c r="C122" s="17" t="s">
        <v>138</v>
      </c>
      <c r="D122">
        <v>38.799999999999997</v>
      </c>
    </row>
    <row r="123" spans="1:4" ht="40" customHeight="1" x14ac:dyDescent="0.2">
      <c r="A123" s="141">
        <v>49827</v>
      </c>
      <c r="B123" s="20" t="s">
        <v>166</v>
      </c>
      <c r="C123" s="21" t="s">
        <v>174</v>
      </c>
      <c r="D123">
        <v>38.799999999999997</v>
      </c>
    </row>
    <row r="124" spans="1:4" ht="40" customHeight="1" x14ac:dyDescent="0.2">
      <c r="A124" s="141">
        <v>49857</v>
      </c>
      <c r="B124" s="22" t="s">
        <v>183</v>
      </c>
      <c r="C124" s="23" t="s">
        <v>191</v>
      </c>
      <c r="D124">
        <v>39.5</v>
      </c>
    </row>
    <row r="125" spans="1:4" ht="40" customHeight="1" x14ac:dyDescent="0.2">
      <c r="A125" s="141">
        <v>49888</v>
      </c>
      <c r="B125" s="24" t="s">
        <v>200</v>
      </c>
      <c r="C125" s="25" t="s">
        <v>208</v>
      </c>
      <c r="D125">
        <v>39.5</v>
      </c>
    </row>
    <row r="126" spans="1:4" ht="40" customHeight="1" x14ac:dyDescent="0.2">
      <c r="A126" s="141">
        <v>49919</v>
      </c>
      <c r="B126" s="26" t="s">
        <v>217</v>
      </c>
      <c r="C126" s="27" t="s">
        <v>225</v>
      </c>
      <c r="D126">
        <v>39.5</v>
      </c>
    </row>
    <row r="127" spans="1:4" ht="40" customHeight="1" x14ac:dyDescent="0.2">
      <c r="A127" s="141">
        <v>49949</v>
      </c>
      <c r="B127" s="28" t="s">
        <v>234</v>
      </c>
      <c r="C127" s="29" t="s">
        <v>242</v>
      </c>
      <c r="D127">
        <v>40.1</v>
      </c>
    </row>
    <row r="128" spans="1:4" ht="40" customHeight="1" x14ac:dyDescent="0.2">
      <c r="A128" s="141">
        <v>49980</v>
      </c>
      <c r="B128" s="8" t="s">
        <v>61</v>
      </c>
      <c r="C128" s="9" t="s">
        <v>69</v>
      </c>
      <c r="D128">
        <v>40.1</v>
      </c>
    </row>
    <row r="129" spans="1:4" ht="40" customHeight="1" x14ac:dyDescent="0.2">
      <c r="A129" s="141">
        <v>50010</v>
      </c>
      <c r="B129" s="18" t="s">
        <v>148</v>
      </c>
      <c r="C129" s="19" t="s">
        <v>157</v>
      </c>
      <c r="D129">
        <v>40.1</v>
      </c>
    </row>
    <row r="130" spans="1:4" ht="40" customHeight="1" x14ac:dyDescent="0.2">
      <c r="A130" s="141">
        <v>50041</v>
      </c>
      <c r="B130" s="10" t="s">
        <v>77</v>
      </c>
      <c r="C130" s="11" t="s">
        <v>282</v>
      </c>
      <c r="D130">
        <v>40.799999999999997</v>
      </c>
    </row>
    <row r="131" spans="1:4" ht="40" customHeight="1" x14ac:dyDescent="0.2">
      <c r="A131" s="141">
        <v>50072</v>
      </c>
      <c r="B131" s="20" t="s">
        <v>166</v>
      </c>
      <c r="C131" s="21" t="s">
        <v>323</v>
      </c>
      <c r="D131">
        <v>40.799999999999997</v>
      </c>
    </row>
    <row r="132" spans="1:4" ht="40" customHeight="1" x14ac:dyDescent="0.2">
      <c r="A132" s="141">
        <v>50100</v>
      </c>
      <c r="B132" s="24" t="s">
        <v>200</v>
      </c>
      <c r="C132" s="25" t="s">
        <v>339</v>
      </c>
      <c r="D132">
        <v>40.799999999999997</v>
      </c>
    </row>
    <row r="133" spans="1:4" ht="40" customHeight="1" x14ac:dyDescent="0.2">
      <c r="A133" s="141">
        <v>50131</v>
      </c>
      <c r="B133" s="26" t="s">
        <v>217</v>
      </c>
      <c r="C133" s="27" t="s">
        <v>347</v>
      </c>
      <c r="D133">
        <v>41.5</v>
      </c>
    </row>
    <row r="134" spans="1:4" ht="40" customHeight="1" x14ac:dyDescent="0.2">
      <c r="A134" s="141">
        <v>50161</v>
      </c>
      <c r="B134" s="28" t="s">
        <v>234</v>
      </c>
      <c r="C134" s="29" t="s">
        <v>355</v>
      </c>
      <c r="D134">
        <v>41.5</v>
      </c>
    </row>
    <row r="135" spans="1:4" ht="40" customHeight="1" x14ac:dyDescent="0.2">
      <c r="A135" s="141">
        <v>50192</v>
      </c>
      <c r="B135" s="12" t="s">
        <v>95</v>
      </c>
      <c r="C135" s="13" t="s">
        <v>104</v>
      </c>
      <c r="D135">
        <v>41.5</v>
      </c>
    </row>
    <row r="136" spans="1:4" ht="40" customHeight="1" x14ac:dyDescent="0.2">
      <c r="A136" s="141">
        <v>50222</v>
      </c>
      <c r="B136" s="4" t="s">
        <v>25</v>
      </c>
      <c r="C136" s="5" t="s">
        <v>34</v>
      </c>
      <c r="D136">
        <v>42.2</v>
      </c>
    </row>
    <row r="137" spans="1:4" ht="40" customHeight="1" x14ac:dyDescent="0.2">
      <c r="A137" s="141">
        <v>50253</v>
      </c>
      <c r="B137" s="10" t="s">
        <v>77</v>
      </c>
      <c r="C137" s="11" t="s">
        <v>86</v>
      </c>
      <c r="D137">
        <v>42.2</v>
      </c>
    </row>
    <row r="138" spans="1:4" ht="40" customHeight="1" x14ac:dyDescent="0.2">
      <c r="A138" s="141">
        <v>50284</v>
      </c>
      <c r="B138" s="14" t="s">
        <v>112</v>
      </c>
      <c r="C138" s="15" t="s">
        <v>121</v>
      </c>
      <c r="D138">
        <v>42.2</v>
      </c>
    </row>
    <row r="139" spans="1:4" ht="40" customHeight="1" x14ac:dyDescent="0.2">
      <c r="A139" s="141">
        <v>50314</v>
      </c>
      <c r="B139" s="6" t="s">
        <v>43</v>
      </c>
      <c r="C139" s="7" t="s">
        <v>52</v>
      </c>
      <c r="D139">
        <v>42.9</v>
      </c>
    </row>
    <row r="140" spans="1:4" ht="40" customHeight="1" x14ac:dyDescent="0.2">
      <c r="A140" s="141">
        <v>50345</v>
      </c>
      <c r="B140" s="16" t="s">
        <v>130</v>
      </c>
      <c r="C140" s="17" t="s">
        <v>139</v>
      </c>
      <c r="D140">
        <v>42.9</v>
      </c>
    </row>
    <row r="141" spans="1:4" ht="40" customHeight="1" x14ac:dyDescent="0.2">
      <c r="A141" s="141">
        <v>50375</v>
      </c>
      <c r="B141" s="22" t="s">
        <v>183</v>
      </c>
      <c r="C141" s="23" t="s">
        <v>192</v>
      </c>
      <c r="D141">
        <v>42.9</v>
      </c>
    </row>
    <row r="142" spans="1:4" ht="40" customHeight="1" x14ac:dyDescent="0.2">
      <c r="A142" s="141">
        <v>50406</v>
      </c>
      <c r="B142" s="24" t="s">
        <v>200</v>
      </c>
      <c r="C142" s="25" t="s">
        <v>209</v>
      </c>
      <c r="D142">
        <v>43.6</v>
      </c>
    </row>
    <row r="143" spans="1:4" ht="40" customHeight="1" x14ac:dyDescent="0.2">
      <c r="A143" s="141">
        <v>50437</v>
      </c>
      <c r="B143" s="26" t="s">
        <v>217</v>
      </c>
      <c r="C143" s="27" t="s">
        <v>226</v>
      </c>
      <c r="D143">
        <v>43.6</v>
      </c>
    </row>
    <row r="144" spans="1:4" ht="40" customHeight="1" x14ac:dyDescent="0.2">
      <c r="A144" s="141">
        <v>50465</v>
      </c>
      <c r="B144" s="20" t="s">
        <v>166</v>
      </c>
      <c r="C144" s="21" t="s">
        <v>175</v>
      </c>
      <c r="D144">
        <v>43.6</v>
      </c>
    </row>
    <row r="145" spans="1:4" ht="40" customHeight="1" x14ac:dyDescent="0.2">
      <c r="A145" s="141">
        <v>50496</v>
      </c>
      <c r="B145" s="28" t="s">
        <v>234</v>
      </c>
      <c r="C145" s="29" t="s">
        <v>243</v>
      </c>
      <c r="D145">
        <v>44.3</v>
      </c>
    </row>
    <row r="146" spans="1:4" ht="40" customHeight="1" x14ac:dyDescent="0.2">
      <c r="A146" s="141">
        <v>50526</v>
      </c>
      <c r="B146" s="12" t="s">
        <v>95</v>
      </c>
      <c r="C146" s="13" t="s">
        <v>291</v>
      </c>
      <c r="D146">
        <v>44.3</v>
      </c>
    </row>
    <row r="147" spans="1:4" ht="40" customHeight="1" x14ac:dyDescent="0.2">
      <c r="A147" s="141">
        <v>50557</v>
      </c>
      <c r="B147" s="18" t="s">
        <v>148</v>
      </c>
      <c r="C147" s="19" t="s">
        <v>315</v>
      </c>
      <c r="D147">
        <v>44.3</v>
      </c>
    </row>
    <row r="148" spans="1:4" ht="40" customHeight="1" x14ac:dyDescent="0.2">
      <c r="A148" s="141">
        <v>50587</v>
      </c>
      <c r="B148" s="14" t="s">
        <v>112</v>
      </c>
      <c r="C148" s="15" t="s">
        <v>299</v>
      </c>
      <c r="D148">
        <v>45</v>
      </c>
    </row>
    <row r="149" spans="1:4" ht="40" customHeight="1" x14ac:dyDescent="0.2">
      <c r="A149" s="141">
        <v>50618</v>
      </c>
      <c r="B149" s="16" t="s">
        <v>130</v>
      </c>
      <c r="C149" s="17" t="s">
        <v>307</v>
      </c>
      <c r="D149">
        <v>45</v>
      </c>
    </row>
    <row r="150" spans="1:4" ht="40" customHeight="1" x14ac:dyDescent="0.2">
      <c r="A150" s="141">
        <v>50649</v>
      </c>
      <c r="B150" s="22" t="s">
        <v>183</v>
      </c>
      <c r="C150" s="23" t="s">
        <v>331</v>
      </c>
      <c r="D150">
        <v>45</v>
      </c>
    </row>
    <row r="151" spans="1:4" ht="40" customHeight="1" x14ac:dyDescent="0.2">
      <c r="A151" s="141">
        <v>50679</v>
      </c>
      <c r="B151" s="4" t="s">
        <v>25</v>
      </c>
      <c r="C151" s="5" t="s">
        <v>35</v>
      </c>
      <c r="D151">
        <v>45.7</v>
      </c>
    </row>
    <row r="152" spans="1:4" ht="40" customHeight="1" x14ac:dyDescent="0.2">
      <c r="A152" s="141">
        <v>50710</v>
      </c>
      <c r="B152" s="8" t="s">
        <v>61</v>
      </c>
      <c r="C152" s="9" t="s">
        <v>70</v>
      </c>
      <c r="D152">
        <v>45.7</v>
      </c>
    </row>
    <row r="153" spans="1:4" ht="40" customHeight="1" x14ac:dyDescent="0.2">
      <c r="A153" s="141">
        <v>50740</v>
      </c>
      <c r="B153" s="10" t="s">
        <v>77</v>
      </c>
      <c r="C153" s="11" t="s">
        <v>87</v>
      </c>
      <c r="D153">
        <v>45.7</v>
      </c>
    </row>
    <row r="154" spans="1:4" ht="40" customHeight="1" x14ac:dyDescent="0.2">
      <c r="A154" s="141">
        <v>50771</v>
      </c>
      <c r="B154" s="14" t="s">
        <v>112</v>
      </c>
      <c r="C154" s="15" t="s">
        <v>122</v>
      </c>
      <c r="D154">
        <v>46.4</v>
      </c>
    </row>
    <row r="155" spans="1:4" ht="40" customHeight="1" x14ac:dyDescent="0.2">
      <c r="A155" s="141">
        <v>50802</v>
      </c>
      <c r="B155" s="18" t="s">
        <v>148</v>
      </c>
      <c r="C155" s="19" t="s">
        <v>158</v>
      </c>
      <c r="D155">
        <v>46.4</v>
      </c>
    </row>
    <row r="156" spans="1:4" ht="40" customHeight="1" x14ac:dyDescent="0.2">
      <c r="A156" s="141">
        <v>50830</v>
      </c>
      <c r="B156" s="6" t="s">
        <v>43</v>
      </c>
      <c r="C156" s="7" t="s">
        <v>53</v>
      </c>
      <c r="D156">
        <v>46.4</v>
      </c>
    </row>
    <row r="157" spans="1:4" ht="40" customHeight="1" x14ac:dyDescent="0.2">
      <c r="A157" s="141">
        <v>50861</v>
      </c>
      <c r="B157" s="12" t="s">
        <v>95</v>
      </c>
      <c r="C157" s="13" t="s">
        <v>105</v>
      </c>
      <c r="D157">
        <v>47.1</v>
      </c>
    </row>
    <row r="158" spans="1:4" ht="40" customHeight="1" x14ac:dyDescent="0.2">
      <c r="A158" s="141">
        <v>50891</v>
      </c>
      <c r="B158" s="16" t="s">
        <v>130</v>
      </c>
      <c r="C158" s="17" t="s">
        <v>140</v>
      </c>
      <c r="D158">
        <v>47.1</v>
      </c>
    </row>
    <row r="159" spans="1:4" ht="40" customHeight="1" x14ac:dyDescent="0.2">
      <c r="A159" s="141">
        <v>50922</v>
      </c>
      <c r="B159" s="22" t="s">
        <v>183</v>
      </c>
      <c r="C159" s="23" t="s">
        <v>193</v>
      </c>
      <c r="D159">
        <v>47.1</v>
      </c>
    </row>
    <row r="160" spans="1:4" ht="40" customHeight="1" x14ac:dyDescent="0.2">
      <c r="A160" s="141">
        <v>50952</v>
      </c>
      <c r="B160" s="24" t="s">
        <v>200</v>
      </c>
      <c r="C160" s="25" t="s">
        <v>210</v>
      </c>
      <c r="D160">
        <v>47.9</v>
      </c>
    </row>
    <row r="161" spans="1:4" ht="40" customHeight="1" x14ac:dyDescent="0.2">
      <c r="A161" s="141">
        <v>50983</v>
      </c>
      <c r="B161" s="26" t="s">
        <v>217</v>
      </c>
      <c r="C161" s="27" t="s">
        <v>227</v>
      </c>
      <c r="D161">
        <v>47.9</v>
      </c>
    </row>
    <row r="162" spans="1:4" ht="40" customHeight="1" x14ac:dyDescent="0.2">
      <c r="A162" s="141">
        <v>51014</v>
      </c>
      <c r="B162" s="2" t="s">
        <v>4</v>
      </c>
      <c r="C162" s="3" t="s">
        <v>253</v>
      </c>
      <c r="D162">
        <v>47.9</v>
      </c>
    </row>
    <row r="163" spans="1:4" ht="40" customHeight="1" x14ac:dyDescent="0.2">
      <c r="A163" s="141">
        <v>51044</v>
      </c>
      <c r="B163" s="20" t="s">
        <v>166</v>
      </c>
      <c r="C163" s="21" t="s">
        <v>176</v>
      </c>
      <c r="D163">
        <v>48.6</v>
      </c>
    </row>
    <row r="164" spans="1:4" ht="40" customHeight="1" x14ac:dyDescent="0.2">
      <c r="A164" s="141">
        <v>51075</v>
      </c>
      <c r="B164" s="28" t="s">
        <v>234</v>
      </c>
      <c r="C164" s="29" t="s">
        <v>244</v>
      </c>
      <c r="D164">
        <v>48.6</v>
      </c>
    </row>
    <row r="165" spans="1:4" ht="40" customHeight="1" x14ac:dyDescent="0.2">
      <c r="A165" s="141">
        <v>51105</v>
      </c>
      <c r="B165" s="4" t="s">
        <v>25</v>
      </c>
      <c r="C165" s="5" t="s">
        <v>259</v>
      </c>
      <c r="D165">
        <v>48.6</v>
      </c>
    </row>
    <row r="166" spans="1:4" ht="40" customHeight="1" x14ac:dyDescent="0.2">
      <c r="A166" s="141">
        <v>51136</v>
      </c>
      <c r="B166" s="6" t="s">
        <v>43</v>
      </c>
      <c r="C166" s="7" t="s">
        <v>266</v>
      </c>
      <c r="D166">
        <v>49.3</v>
      </c>
    </row>
    <row r="167" spans="1:4" ht="40" customHeight="1" x14ac:dyDescent="0.2">
      <c r="A167" s="141">
        <v>51167</v>
      </c>
      <c r="B167" s="10" t="s">
        <v>77</v>
      </c>
      <c r="C167" s="11" t="s">
        <v>283</v>
      </c>
      <c r="D167">
        <v>49.3</v>
      </c>
    </row>
    <row r="168" spans="1:4" ht="40" customHeight="1" x14ac:dyDescent="0.2">
      <c r="A168" s="141">
        <v>51196</v>
      </c>
      <c r="B168" s="8" t="s">
        <v>61</v>
      </c>
      <c r="C168" s="9" t="s">
        <v>275</v>
      </c>
      <c r="D168">
        <v>49.3</v>
      </c>
    </row>
    <row r="169" spans="1:4" ht="40" customHeight="1" x14ac:dyDescent="0.2">
      <c r="A169" s="141">
        <v>51227</v>
      </c>
      <c r="B169" s="2" t="s">
        <v>4</v>
      </c>
      <c r="C169" s="3" t="s">
        <v>16</v>
      </c>
      <c r="D169">
        <v>50.1</v>
      </c>
    </row>
    <row r="170" spans="1:4" ht="40" customHeight="1" x14ac:dyDescent="0.2">
      <c r="A170" s="141">
        <v>51257</v>
      </c>
      <c r="B170" s="2" t="s">
        <v>4</v>
      </c>
      <c r="C170" s="3" t="s">
        <v>17</v>
      </c>
      <c r="D170">
        <v>50.1</v>
      </c>
    </row>
    <row r="171" spans="1:4" ht="40" customHeight="1" x14ac:dyDescent="0.2">
      <c r="A171" s="141">
        <v>51288</v>
      </c>
      <c r="B171" s="6" t="s">
        <v>43</v>
      </c>
      <c r="C171" s="7" t="s">
        <v>54</v>
      </c>
      <c r="D171">
        <v>50.1</v>
      </c>
    </row>
    <row r="172" spans="1:4" ht="40" customHeight="1" x14ac:dyDescent="0.2">
      <c r="A172" s="141">
        <v>51318</v>
      </c>
      <c r="B172" s="10" t="s">
        <v>77</v>
      </c>
      <c r="C172" s="11" t="s">
        <v>88</v>
      </c>
      <c r="D172">
        <v>50.8</v>
      </c>
    </row>
    <row r="173" spans="1:4" ht="40" customHeight="1" x14ac:dyDescent="0.2">
      <c r="A173" s="141">
        <v>51349</v>
      </c>
      <c r="B173" s="12" t="s">
        <v>95</v>
      </c>
      <c r="C173" s="13" t="s">
        <v>106</v>
      </c>
      <c r="D173">
        <v>50.8</v>
      </c>
    </row>
    <row r="174" spans="1:4" ht="40" customHeight="1" x14ac:dyDescent="0.2">
      <c r="A174" s="141">
        <v>51380</v>
      </c>
      <c r="B174" s="14" t="s">
        <v>112</v>
      </c>
      <c r="C174" s="15" t="s">
        <v>123</v>
      </c>
      <c r="D174">
        <v>50.8</v>
      </c>
    </row>
    <row r="175" spans="1:4" ht="40" customHeight="1" x14ac:dyDescent="0.2">
      <c r="A175" s="141">
        <v>51410</v>
      </c>
      <c r="B175" s="16" t="s">
        <v>130</v>
      </c>
      <c r="C175" s="17" t="s">
        <v>141</v>
      </c>
      <c r="D175">
        <v>51.6</v>
      </c>
    </row>
    <row r="176" spans="1:4" ht="40" customHeight="1" x14ac:dyDescent="0.2">
      <c r="A176" s="141">
        <v>51441</v>
      </c>
      <c r="B176" s="18" t="s">
        <v>148</v>
      </c>
      <c r="C176" s="19" t="s">
        <v>159</v>
      </c>
      <c r="D176">
        <v>51.6</v>
      </c>
    </row>
    <row r="177" spans="1:4" ht="40" customHeight="1" x14ac:dyDescent="0.2">
      <c r="A177" s="141">
        <v>51471</v>
      </c>
      <c r="B177" s="20" t="s">
        <v>166</v>
      </c>
      <c r="C177" s="21" t="s">
        <v>177</v>
      </c>
      <c r="D177">
        <v>51.6</v>
      </c>
    </row>
    <row r="178" spans="1:4" ht="40" customHeight="1" x14ac:dyDescent="0.2">
      <c r="A178" s="141">
        <v>51502</v>
      </c>
      <c r="B178" s="22" t="s">
        <v>183</v>
      </c>
      <c r="C178" s="23" t="s">
        <v>194</v>
      </c>
      <c r="D178">
        <v>52.3</v>
      </c>
    </row>
    <row r="179" spans="1:4" ht="40" customHeight="1" x14ac:dyDescent="0.2">
      <c r="A179" s="141">
        <v>51533</v>
      </c>
      <c r="B179" s="24" t="s">
        <v>200</v>
      </c>
      <c r="C179" s="25" t="s">
        <v>211</v>
      </c>
      <c r="D179">
        <v>52.3</v>
      </c>
    </row>
    <row r="180" spans="1:4" ht="40" customHeight="1" x14ac:dyDescent="0.2">
      <c r="A180" s="141">
        <v>51561</v>
      </c>
      <c r="B180" s="26" t="s">
        <v>217</v>
      </c>
      <c r="C180" s="27" t="s">
        <v>228</v>
      </c>
      <c r="D180">
        <v>52.3</v>
      </c>
    </row>
    <row r="181" spans="1:4" ht="40" customHeight="1" x14ac:dyDescent="0.2">
      <c r="A181" s="141">
        <v>51592</v>
      </c>
      <c r="B181" s="28" t="s">
        <v>234</v>
      </c>
      <c r="C181" s="29" t="s">
        <v>245</v>
      </c>
      <c r="D181">
        <v>53.1</v>
      </c>
    </row>
    <row r="182" spans="1:4" ht="40" customHeight="1" x14ac:dyDescent="0.2">
      <c r="A182" s="141">
        <v>51622</v>
      </c>
      <c r="B182" s="4" t="s">
        <v>25</v>
      </c>
      <c r="C182" s="5" t="s">
        <v>36</v>
      </c>
      <c r="D182">
        <v>53.1</v>
      </c>
    </row>
    <row r="183" spans="1:4" ht="40" customHeight="1" x14ac:dyDescent="0.2">
      <c r="A183" s="141">
        <v>51653</v>
      </c>
      <c r="B183" s="8" t="s">
        <v>61</v>
      </c>
      <c r="C183" s="9" t="s">
        <v>71</v>
      </c>
      <c r="D183">
        <v>53.1</v>
      </c>
    </row>
    <row r="184" spans="1:4" ht="40" customHeight="1" x14ac:dyDescent="0.2">
      <c r="A184" s="141">
        <v>51683</v>
      </c>
      <c r="B184" s="2" t="s">
        <v>4</v>
      </c>
      <c r="C184" s="3" t="s">
        <v>254</v>
      </c>
      <c r="D184">
        <v>53.8</v>
      </c>
    </row>
    <row r="185" spans="1:4" ht="40" customHeight="1" x14ac:dyDescent="0.2">
      <c r="A185" s="141">
        <v>51714</v>
      </c>
      <c r="B185" s="12" t="s">
        <v>95</v>
      </c>
      <c r="C185" s="13" t="s">
        <v>292</v>
      </c>
      <c r="D185">
        <v>53.8</v>
      </c>
    </row>
    <row r="186" spans="1:4" ht="40" customHeight="1" x14ac:dyDescent="0.2">
      <c r="A186" s="141">
        <v>51745</v>
      </c>
      <c r="B186" s="16" t="s">
        <v>130</v>
      </c>
      <c r="C186" s="17" t="s">
        <v>308</v>
      </c>
      <c r="D186">
        <v>53.8</v>
      </c>
    </row>
    <row r="187" spans="1:4" ht="40" customHeight="1" x14ac:dyDescent="0.2">
      <c r="A187" s="141">
        <v>51775</v>
      </c>
      <c r="B187" s="18" t="s">
        <v>148</v>
      </c>
      <c r="C187" s="19" t="s">
        <v>316</v>
      </c>
      <c r="D187">
        <v>54.6</v>
      </c>
    </row>
    <row r="188" spans="1:4" ht="40" customHeight="1" x14ac:dyDescent="0.2">
      <c r="A188" s="141">
        <v>51806</v>
      </c>
      <c r="B188" s="20" t="s">
        <v>166</v>
      </c>
      <c r="C188" s="21" t="s">
        <v>324</v>
      </c>
      <c r="D188">
        <v>54.6</v>
      </c>
    </row>
    <row r="189" spans="1:4" ht="40" customHeight="1" x14ac:dyDescent="0.2">
      <c r="A189" s="141">
        <v>51836</v>
      </c>
      <c r="B189" s="24" t="s">
        <v>200</v>
      </c>
      <c r="C189" s="25" t="s">
        <v>340</v>
      </c>
      <c r="D189">
        <v>54.6</v>
      </c>
    </row>
    <row r="190" spans="1:4" ht="40" customHeight="1" x14ac:dyDescent="0.2">
      <c r="A190" s="141">
        <v>51867</v>
      </c>
      <c r="B190" s="26" t="s">
        <v>217</v>
      </c>
      <c r="C190" s="27" t="s">
        <v>348</v>
      </c>
      <c r="D190">
        <v>55.3</v>
      </c>
    </row>
    <row r="191" spans="1:4" ht="40" customHeight="1" x14ac:dyDescent="0.2">
      <c r="A191" s="141">
        <v>51898</v>
      </c>
      <c r="B191" s="14" t="s">
        <v>112</v>
      </c>
      <c r="C191" s="15" t="s">
        <v>300</v>
      </c>
      <c r="D191">
        <v>55.3</v>
      </c>
    </row>
    <row r="192" spans="1:4" ht="40" customHeight="1" x14ac:dyDescent="0.2">
      <c r="A192" s="141">
        <v>51926</v>
      </c>
      <c r="B192" s="22" t="s">
        <v>183</v>
      </c>
      <c r="C192" s="23" t="s">
        <v>332</v>
      </c>
      <c r="D192">
        <v>55.3</v>
      </c>
    </row>
    <row r="193" spans="1:4" ht="40" customHeight="1" x14ac:dyDescent="0.2">
      <c r="A193" s="141">
        <v>51957</v>
      </c>
      <c r="B193" s="28" t="s">
        <v>234</v>
      </c>
      <c r="C193" s="29" t="s">
        <v>356</v>
      </c>
      <c r="D193">
        <v>56.1</v>
      </c>
    </row>
    <row r="194" spans="1:4" ht="40" customHeight="1" x14ac:dyDescent="0.2">
      <c r="A194" s="141">
        <v>51987</v>
      </c>
      <c r="B194" s="4" t="s">
        <v>25</v>
      </c>
      <c r="C194" s="5" t="s">
        <v>260</v>
      </c>
      <c r="D194">
        <v>56.1</v>
      </c>
    </row>
    <row r="195" spans="1:4" ht="40" customHeight="1" x14ac:dyDescent="0.2">
      <c r="A195" s="141">
        <v>52018</v>
      </c>
      <c r="B195" s="6" t="s">
        <v>43</v>
      </c>
      <c r="C195" s="7" t="s">
        <v>267</v>
      </c>
      <c r="D195">
        <v>56.1</v>
      </c>
    </row>
    <row r="196" spans="1:4" ht="40" customHeight="1" x14ac:dyDescent="0.2">
      <c r="A196" s="141">
        <v>52048</v>
      </c>
      <c r="B196" s="10" t="s">
        <v>77</v>
      </c>
      <c r="C196" s="11" t="s">
        <v>284</v>
      </c>
      <c r="D196">
        <v>56.8</v>
      </c>
    </row>
    <row r="197" spans="1:4" ht="40" customHeight="1" x14ac:dyDescent="0.2">
      <c r="A197" s="141">
        <v>52079</v>
      </c>
      <c r="B197" s="8" t="s">
        <v>61</v>
      </c>
      <c r="C197" s="9" t="s">
        <v>276</v>
      </c>
      <c r="D197">
        <v>56.8</v>
      </c>
    </row>
    <row r="198" spans="1:4" ht="40" customHeight="1" x14ac:dyDescent="0.2">
      <c r="A198" s="141">
        <v>52110</v>
      </c>
      <c r="B198" s="2" t="s">
        <v>4</v>
      </c>
      <c r="C198" s="3" t="s">
        <v>18</v>
      </c>
      <c r="D198">
        <v>56.8</v>
      </c>
    </row>
    <row r="199" spans="1:4" ht="40" customHeight="1" x14ac:dyDescent="0.2">
      <c r="A199" s="141">
        <v>52140</v>
      </c>
      <c r="B199" s="12" t="s">
        <v>95</v>
      </c>
      <c r="C199" s="13" t="s">
        <v>293</v>
      </c>
      <c r="D199">
        <v>57.6</v>
      </c>
    </row>
    <row r="200" spans="1:4" ht="40" customHeight="1" x14ac:dyDescent="0.2">
      <c r="A200" s="141">
        <v>52171</v>
      </c>
      <c r="B200" s="16" t="s">
        <v>130</v>
      </c>
      <c r="C200" s="17" t="s">
        <v>309</v>
      </c>
      <c r="D200">
        <v>57.6</v>
      </c>
    </row>
    <row r="201" spans="1:4" ht="40" customHeight="1" x14ac:dyDescent="0.2">
      <c r="A201" s="141">
        <v>52201</v>
      </c>
      <c r="B201" s="4" t="s">
        <v>25</v>
      </c>
      <c r="C201" s="5" t="s">
        <v>37</v>
      </c>
      <c r="D201">
        <v>57.6</v>
      </c>
    </row>
    <row r="202" spans="1:4" ht="40" customHeight="1" x14ac:dyDescent="0.2">
      <c r="A202" s="141">
        <v>52232</v>
      </c>
      <c r="B202" s="2" t="s">
        <v>4</v>
      </c>
      <c r="C202" s="3" t="s">
        <v>255</v>
      </c>
      <c r="D202">
        <v>58.3</v>
      </c>
    </row>
    <row r="203" spans="1:4" ht="40" customHeight="1" x14ac:dyDescent="0.2">
      <c r="A203" s="141">
        <v>52263</v>
      </c>
      <c r="B203" s="20" t="s">
        <v>166</v>
      </c>
      <c r="C203" s="21" t="s">
        <v>325</v>
      </c>
      <c r="D203">
        <v>58.3</v>
      </c>
    </row>
    <row r="204" spans="1:4" ht="40" customHeight="1" x14ac:dyDescent="0.2">
      <c r="A204" s="141">
        <v>52291</v>
      </c>
      <c r="B204" s="6" t="s">
        <v>43</v>
      </c>
      <c r="C204" s="7" t="s">
        <v>55</v>
      </c>
      <c r="D204">
        <v>58.3</v>
      </c>
    </row>
    <row r="205" spans="1:4" ht="40" customHeight="1" x14ac:dyDescent="0.2">
      <c r="A205" s="141">
        <v>52322</v>
      </c>
      <c r="B205" s="10" t="s">
        <v>77</v>
      </c>
      <c r="C205" s="11" t="s">
        <v>89</v>
      </c>
      <c r="D205">
        <v>59.1</v>
      </c>
    </row>
    <row r="206" spans="1:4" ht="40" customHeight="1" x14ac:dyDescent="0.2">
      <c r="A206" s="141">
        <v>52352</v>
      </c>
      <c r="B206" s="14" t="s">
        <v>112</v>
      </c>
      <c r="C206" s="15" t="s">
        <v>124</v>
      </c>
      <c r="D206">
        <v>59.1</v>
      </c>
    </row>
    <row r="207" spans="1:4" ht="40" customHeight="1" x14ac:dyDescent="0.2">
      <c r="A207" s="141">
        <v>52383</v>
      </c>
      <c r="B207" s="16" t="s">
        <v>130</v>
      </c>
      <c r="C207" s="17" t="s">
        <v>142</v>
      </c>
      <c r="D207">
        <v>59.1</v>
      </c>
    </row>
    <row r="208" spans="1:4" ht="40" customHeight="1" x14ac:dyDescent="0.2">
      <c r="A208" s="141">
        <v>52413</v>
      </c>
      <c r="B208" s="18" t="s">
        <v>148</v>
      </c>
      <c r="C208" s="19" t="s">
        <v>160</v>
      </c>
      <c r="D208">
        <v>59.8</v>
      </c>
    </row>
    <row r="209" spans="1:4" ht="40" customHeight="1" x14ac:dyDescent="0.2">
      <c r="A209" s="141">
        <v>52444</v>
      </c>
      <c r="B209" s="26" t="s">
        <v>217</v>
      </c>
      <c r="C209" s="27" t="s">
        <v>349</v>
      </c>
      <c r="D209">
        <v>59.8</v>
      </c>
    </row>
    <row r="210" spans="1:4" ht="40" customHeight="1" x14ac:dyDescent="0.2">
      <c r="A210" s="141">
        <v>52475</v>
      </c>
      <c r="B210" s="22" t="s">
        <v>183</v>
      </c>
      <c r="C210" s="23" t="s">
        <v>333</v>
      </c>
      <c r="D210">
        <v>59.8</v>
      </c>
    </row>
    <row r="211" spans="1:4" ht="40" customHeight="1" x14ac:dyDescent="0.2">
      <c r="A211" s="141">
        <v>52505</v>
      </c>
      <c r="B211" s="28" t="s">
        <v>234</v>
      </c>
      <c r="C211" s="29" t="s">
        <v>357</v>
      </c>
      <c r="D211">
        <v>60.6</v>
      </c>
    </row>
    <row r="212" spans="1:4" ht="40" customHeight="1" x14ac:dyDescent="0.2">
      <c r="A212" s="141">
        <v>52536</v>
      </c>
      <c r="B212" s="14" t="s">
        <v>112</v>
      </c>
      <c r="C212" s="15" t="s">
        <v>301</v>
      </c>
      <c r="D212">
        <v>60.6</v>
      </c>
    </row>
    <row r="213" spans="1:4" ht="40" customHeight="1" x14ac:dyDescent="0.2">
      <c r="A213" s="141">
        <v>52566</v>
      </c>
      <c r="B213" s="18" t="s">
        <v>148</v>
      </c>
      <c r="C213" s="19" t="s">
        <v>317</v>
      </c>
      <c r="D213">
        <v>60.6</v>
      </c>
    </row>
    <row r="214" spans="1:4" ht="40" customHeight="1" x14ac:dyDescent="0.2">
      <c r="A214" s="141">
        <v>52597</v>
      </c>
      <c r="B214" s="24" t="s">
        <v>200</v>
      </c>
      <c r="C214" s="25" t="s">
        <v>341</v>
      </c>
      <c r="D214">
        <v>61.3</v>
      </c>
    </row>
    <row r="215" spans="1:4" ht="40" customHeight="1" x14ac:dyDescent="0.2">
      <c r="A215" s="141">
        <v>52628</v>
      </c>
      <c r="B215" s="2" t="s">
        <v>4</v>
      </c>
      <c r="C215" s="3" t="s">
        <v>19</v>
      </c>
      <c r="D215">
        <v>61.3</v>
      </c>
    </row>
    <row r="216" spans="1:4" ht="40" customHeight="1" x14ac:dyDescent="0.2">
      <c r="A216" s="141">
        <v>52657</v>
      </c>
      <c r="B216" s="8" t="s">
        <v>61</v>
      </c>
      <c r="C216" s="9" t="s">
        <v>72</v>
      </c>
      <c r="D216">
        <v>61.3</v>
      </c>
    </row>
    <row r="217" spans="1:4" ht="40" customHeight="1" x14ac:dyDescent="0.2">
      <c r="A217" s="141">
        <v>52688</v>
      </c>
      <c r="B217" s="10" t="s">
        <v>77</v>
      </c>
      <c r="C217" s="11" t="s">
        <v>285</v>
      </c>
      <c r="D217">
        <v>62.1</v>
      </c>
    </row>
    <row r="218" spans="1:4" ht="40" customHeight="1" x14ac:dyDescent="0.2">
      <c r="A218" s="141">
        <v>52718</v>
      </c>
      <c r="B218" s="12" t="s">
        <v>95</v>
      </c>
      <c r="C218" s="13" t="s">
        <v>107</v>
      </c>
      <c r="D218">
        <v>62.1</v>
      </c>
    </row>
    <row r="219" spans="1:4" ht="40" customHeight="1" x14ac:dyDescent="0.2">
      <c r="A219" s="141">
        <v>52749</v>
      </c>
      <c r="B219" s="20" t="s">
        <v>166</v>
      </c>
      <c r="C219" s="21" t="s">
        <v>178</v>
      </c>
      <c r="D219">
        <v>62.1</v>
      </c>
    </row>
    <row r="220" spans="1:4" ht="40" customHeight="1" x14ac:dyDescent="0.2">
      <c r="A220" s="141">
        <v>52779</v>
      </c>
      <c r="B220" s="22" t="s">
        <v>183</v>
      </c>
      <c r="C220" s="23" t="s">
        <v>195</v>
      </c>
      <c r="D220">
        <v>62.8</v>
      </c>
    </row>
    <row r="221" spans="1:4" ht="40" customHeight="1" x14ac:dyDescent="0.2">
      <c r="A221" s="141">
        <v>52810</v>
      </c>
      <c r="B221" s="24" t="s">
        <v>200</v>
      </c>
      <c r="C221" s="25" t="s">
        <v>212</v>
      </c>
      <c r="D221">
        <v>62.8</v>
      </c>
    </row>
    <row r="222" spans="1:4" ht="40" customHeight="1" x14ac:dyDescent="0.2">
      <c r="A222" s="141">
        <v>52841</v>
      </c>
      <c r="B222" s="26" t="s">
        <v>217</v>
      </c>
      <c r="C222" s="27" t="s">
        <v>229</v>
      </c>
      <c r="D222">
        <v>62.8</v>
      </c>
    </row>
    <row r="223" spans="1:4" ht="40" customHeight="1" x14ac:dyDescent="0.2">
      <c r="A223" s="141">
        <v>52871</v>
      </c>
      <c r="B223" s="28" t="s">
        <v>234</v>
      </c>
      <c r="C223" s="29" t="s">
        <v>246</v>
      </c>
      <c r="D223">
        <v>63.5</v>
      </c>
    </row>
    <row r="224" spans="1:4" ht="40" customHeight="1" x14ac:dyDescent="0.2">
      <c r="A224" s="141">
        <v>52902</v>
      </c>
      <c r="B224" s="4" t="s">
        <v>25</v>
      </c>
      <c r="C224" s="5" t="s">
        <v>261</v>
      </c>
      <c r="D224">
        <v>63.5</v>
      </c>
    </row>
    <row r="225" spans="1:4" ht="40" customHeight="1" x14ac:dyDescent="0.2">
      <c r="A225" s="141">
        <v>52932</v>
      </c>
      <c r="B225" s="6" t="s">
        <v>43</v>
      </c>
      <c r="C225" s="7" t="s">
        <v>268</v>
      </c>
      <c r="D225">
        <v>63.5</v>
      </c>
    </row>
    <row r="226" spans="1:4" ht="40" customHeight="1" x14ac:dyDescent="0.2">
      <c r="A226" s="141">
        <v>52963</v>
      </c>
      <c r="B226" s="16" t="s">
        <v>130</v>
      </c>
      <c r="C226" s="17" t="s">
        <v>310</v>
      </c>
      <c r="D226">
        <v>64.3</v>
      </c>
    </row>
    <row r="227" spans="1:4" ht="40" customHeight="1" x14ac:dyDescent="0.2">
      <c r="A227" s="141">
        <v>52994</v>
      </c>
      <c r="B227" s="8" t="s">
        <v>61</v>
      </c>
      <c r="C227" s="9" t="s">
        <v>277</v>
      </c>
      <c r="D227">
        <v>64.3</v>
      </c>
    </row>
    <row r="228" spans="1:4" ht="40" customHeight="1" x14ac:dyDescent="0.2">
      <c r="A228" s="141">
        <v>53022</v>
      </c>
      <c r="B228" s="2" t="s">
        <v>4</v>
      </c>
      <c r="C228" s="3" t="s">
        <v>256</v>
      </c>
      <c r="D228">
        <v>64.3</v>
      </c>
    </row>
    <row r="229" spans="1:4" ht="40" customHeight="1" x14ac:dyDescent="0.2">
      <c r="A229" s="141">
        <v>53053</v>
      </c>
      <c r="B229" s="12" t="s">
        <v>95</v>
      </c>
      <c r="C229" s="13" t="s">
        <v>294</v>
      </c>
      <c r="D229">
        <v>65</v>
      </c>
    </row>
    <row r="230" spans="1:4" ht="40" customHeight="1" x14ac:dyDescent="0.2">
      <c r="A230" s="141">
        <v>53083</v>
      </c>
      <c r="B230" s="20" t="s">
        <v>166</v>
      </c>
      <c r="C230" s="21" t="s">
        <v>326</v>
      </c>
      <c r="D230">
        <v>65</v>
      </c>
    </row>
    <row r="231" spans="1:4" ht="40" customHeight="1" x14ac:dyDescent="0.2">
      <c r="A231" s="141">
        <v>53114</v>
      </c>
      <c r="B231" s="24" t="s">
        <v>200</v>
      </c>
      <c r="C231" s="25" t="s">
        <v>342</v>
      </c>
      <c r="D231">
        <v>65</v>
      </c>
    </row>
    <row r="232" spans="1:4" ht="40" customHeight="1" x14ac:dyDescent="0.2">
      <c r="A232" s="141">
        <v>53144</v>
      </c>
      <c r="B232" s="10" t="s">
        <v>77</v>
      </c>
      <c r="C232" s="11" t="s">
        <v>286</v>
      </c>
      <c r="D232">
        <v>65.7</v>
      </c>
    </row>
    <row r="233" spans="1:4" ht="40" customHeight="1" x14ac:dyDescent="0.2">
      <c r="A233" s="141">
        <v>53175</v>
      </c>
      <c r="B233" s="26" t="s">
        <v>217</v>
      </c>
      <c r="C233" s="27" t="s">
        <v>350</v>
      </c>
      <c r="D233">
        <v>65.7</v>
      </c>
    </row>
    <row r="234" spans="1:4" ht="40" customHeight="1" x14ac:dyDescent="0.2">
      <c r="A234" s="141">
        <v>53206</v>
      </c>
      <c r="B234" s="14" t="s">
        <v>112</v>
      </c>
      <c r="C234" s="15" t="s">
        <v>302</v>
      </c>
      <c r="D234">
        <v>65.7</v>
      </c>
    </row>
    <row r="235" spans="1:4" ht="40" customHeight="1" x14ac:dyDescent="0.2">
      <c r="A235" s="141">
        <v>53236</v>
      </c>
      <c r="B235" s="22" t="s">
        <v>183</v>
      </c>
      <c r="C235" s="23" t="s">
        <v>334</v>
      </c>
      <c r="D235">
        <v>66.400000000000006</v>
      </c>
    </row>
    <row r="236" spans="1:4" ht="40" customHeight="1" x14ac:dyDescent="0.2">
      <c r="A236" s="141">
        <v>53267</v>
      </c>
      <c r="B236" s="28" t="s">
        <v>234</v>
      </c>
      <c r="C236" s="29" t="s">
        <v>358</v>
      </c>
      <c r="D236">
        <v>66.400000000000006</v>
      </c>
    </row>
    <row r="237" spans="1:4" ht="40" customHeight="1" x14ac:dyDescent="0.2">
      <c r="A237" s="141">
        <v>53297</v>
      </c>
      <c r="B237" s="4" t="s">
        <v>25</v>
      </c>
      <c r="C237" s="5" t="s">
        <v>38</v>
      </c>
      <c r="D237">
        <v>66.400000000000006</v>
      </c>
    </row>
    <row r="238" spans="1:4" ht="40" customHeight="1" x14ac:dyDescent="0.2">
      <c r="A238" s="141">
        <v>53328</v>
      </c>
      <c r="B238" s="6" t="s">
        <v>43</v>
      </c>
      <c r="C238" s="7" t="s">
        <v>56</v>
      </c>
      <c r="D238">
        <v>67.099999999999994</v>
      </c>
    </row>
    <row r="239" spans="1:4" ht="40" customHeight="1" x14ac:dyDescent="0.2">
      <c r="A239" s="141">
        <v>53359</v>
      </c>
      <c r="B239" s="10" t="s">
        <v>77</v>
      </c>
      <c r="C239" s="11" t="s">
        <v>90</v>
      </c>
      <c r="D239">
        <v>67.099999999999994</v>
      </c>
    </row>
    <row r="240" spans="1:4" ht="40" customHeight="1" x14ac:dyDescent="0.2">
      <c r="A240" s="141">
        <v>53387</v>
      </c>
      <c r="B240" s="14" t="s">
        <v>112</v>
      </c>
      <c r="C240" s="15" t="s">
        <v>125</v>
      </c>
      <c r="D240">
        <v>67.099999999999994</v>
      </c>
    </row>
    <row r="241" spans="1:4" ht="40" customHeight="1" x14ac:dyDescent="0.2">
      <c r="A241" s="141">
        <v>53418</v>
      </c>
      <c r="B241" s="16" t="s">
        <v>130</v>
      </c>
      <c r="C241" s="17" t="s">
        <v>143</v>
      </c>
      <c r="D241">
        <v>67.8</v>
      </c>
    </row>
    <row r="242" spans="1:4" ht="40" customHeight="1" x14ac:dyDescent="0.2">
      <c r="A242" s="141">
        <v>53448</v>
      </c>
      <c r="B242" s="18" t="s">
        <v>148</v>
      </c>
      <c r="C242" s="19" t="s">
        <v>161</v>
      </c>
      <c r="D242">
        <v>67.8</v>
      </c>
    </row>
    <row r="243" spans="1:4" ht="40" customHeight="1" x14ac:dyDescent="0.2">
      <c r="A243" s="141">
        <v>53479</v>
      </c>
      <c r="B243" s="2" t="s">
        <v>4</v>
      </c>
      <c r="C243" s="3" t="s">
        <v>20</v>
      </c>
      <c r="D243">
        <v>67.8</v>
      </c>
    </row>
    <row r="244" spans="1:4" ht="40" customHeight="1" x14ac:dyDescent="0.2">
      <c r="A244" s="141">
        <v>53509</v>
      </c>
      <c r="B244" s="18" t="s">
        <v>148</v>
      </c>
      <c r="C244" s="19" t="s">
        <v>318</v>
      </c>
      <c r="D244">
        <v>68.5</v>
      </c>
    </row>
    <row r="245" spans="1:4" ht="40" customHeight="1" x14ac:dyDescent="0.2">
      <c r="A245" s="141">
        <v>53540</v>
      </c>
      <c r="B245" s="8" t="s">
        <v>61</v>
      </c>
      <c r="C245" s="9" t="s">
        <v>73</v>
      </c>
      <c r="D245">
        <v>68.5</v>
      </c>
    </row>
    <row r="246" spans="1:4" ht="40" customHeight="1" x14ac:dyDescent="0.2">
      <c r="A246" s="141">
        <v>53571</v>
      </c>
      <c r="B246" s="12" t="s">
        <v>95</v>
      </c>
      <c r="C246" s="13" t="s">
        <v>108</v>
      </c>
      <c r="D246">
        <v>68.5</v>
      </c>
    </row>
    <row r="247" spans="1:4" ht="40" customHeight="1" x14ac:dyDescent="0.2">
      <c r="A247" s="141">
        <v>53601</v>
      </c>
      <c r="B247" s="20" t="s">
        <v>166</v>
      </c>
      <c r="C247" s="21" t="s">
        <v>179</v>
      </c>
      <c r="D247">
        <v>69.2</v>
      </c>
    </row>
    <row r="248" spans="1:4" ht="40" customHeight="1" x14ac:dyDescent="0.2">
      <c r="A248" s="141">
        <v>53632</v>
      </c>
      <c r="B248" s="22" t="s">
        <v>183</v>
      </c>
      <c r="C248" s="23" t="s">
        <v>196</v>
      </c>
      <c r="D248">
        <v>69.2</v>
      </c>
    </row>
    <row r="249" spans="1:4" ht="40" customHeight="1" x14ac:dyDescent="0.2">
      <c r="A249" s="141">
        <v>53662</v>
      </c>
      <c r="B249" s="24" t="s">
        <v>200</v>
      </c>
      <c r="C249" s="25" t="s">
        <v>213</v>
      </c>
      <c r="D249">
        <v>69.2</v>
      </c>
    </row>
    <row r="250" spans="1:4" ht="40" customHeight="1" x14ac:dyDescent="0.2">
      <c r="A250" s="141">
        <v>53693</v>
      </c>
      <c r="B250" s="26" t="s">
        <v>217</v>
      </c>
      <c r="C250" s="27" t="s">
        <v>230</v>
      </c>
      <c r="D250">
        <v>69.900000000000006</v>
      </c>
    </row>
    <row r="251" spans="1:4" ht="40" customHeight="1" x14ac:dyDescent="0.2">
      <c r="A251" s="141">
        <v>53724</v>
      </c>
      <c r="B251" s="28" t="s">
        <v>234</v>
      </c>
      <c r="C251" s="29" t="s">
        <v>247</v>
      </c>
      <c r="D251">
        <v>69.900000000000006</v>
      </c>
    </row>
    <row r="252" spans="1:4" ht="40" customHeight="1" x14ac:dyDescent="0.2">
      <c r="A252" s="141">
        <v>53752</v>
      </c>
      <c r="B252" s="2" t="s">
        <v>4</v>
      </c>
      <c r="C252" s="3" t="s">
        <v>257</v>
      </c>
      <c r="D252">
        <v>69.900000000000006</v>
      </c>
    </row>
    <row r="253" spans="1:4" ht="40" customHeight="1" x14ac:dyDescent="0.2">
      <c r="A253" s="141">
        <v>53783</v>
      </c>
      <c r="B253" s="4" t="s">
        <v>25</v>
      </c>
      <c r="C253" s="5" t="s">
        <v>262</v>
      </c>
      <c r="D253">
        <v>70.5</v>
      </c>
    </row>
    <row r="254" spans="1:4" ht="40" customHeight="1" x14ac:dyDescent="0.2">
      <c r="A254" s="141">
        <v>53813</v>
      </c>
      <c r="B254" s="6" t="s">
        <v>43</v>
      </c>
      <c r="C254" s="7" t="s">
        <v>269</v>
      </c>
      <c r="D254">
        <v>70.5</v>
      </c>
    </row>
    <row r="255" spans="1:4" ht="40" customHeight="1" x14ac:dyDescent="0.2">
      <c r="A255" s="141">
        <v>53844</v>
      </c>
      <c r="B255" s="10" t="s">
        <v>77</v>
      </c>
      <c r="C255" s="11" t="s">
        <v>287</v>
      </c>
      <c r="D255">
        <v>70.5</v>
      </c>
    </row>
    <row r="256" spans="1:4" ht="40" customHeight="1" x14ac:dyDescent="0.2">
      <c r="A256" s="141">
        <v>53874</v>
      </c>
      <c r="B256" s="16" t="s">
        <v>130</v>
      </c>
      <c r="C256" s="17" t="s">
        <v>311</v>
      </c>
      <c r="D256">
        <v>71.2</v>
      </c>
    </row>
    <row r="257" spans="1:4" ht="40" customHeight="1" x14ac:dyDescent="0.2">
      <c r="A257" s="141">
        <v>53905</v>
      </c>
      <c r="B257" s="12" t="s">
        <v>95</v>
      </c>
      <c r="C257" s="13" t="s">
        <v>295</v>
      </c>
      <c r="D257">
        <v>71.2</v>
      </c>
    </row>
    <row r="258" spans="1:4" ht="40" customHeight="1" x14ac:dyDescent="0.2">
      <c r="A258" s="141">
        <v>53936</v>
      </c>
      <c r="B258" s="20" t="s">
        <v>166</v>
      </c>
      <c r="C258" s="21" t="s">
        <v>327</v>
      </c>
      <c r="D258">
        <v>71.2</v>
      </c>
    </row>
    <row r="259" spans="1:4" ht="40" customHeight="1" x14ac:dyDescent="0.2">
      <c r="A259" s="141">
        <v>53966</v>
      </c>
      <c r="B259" s="26" t="s">
        <v>217</v>
      </c>
      <c r="C259" s="27" t="s">
        <v>351</v>
      </c>
      <c r="D259">
        <v>71.900000000000006</v>
      </c>
    </row>
    <row r="260" spans="1:4" ht="40" customHeight="1" x14ac:dyDescent="0.2">
      <c r="A260" s="141">
        <v>53997</v>
      </c>
      <c r="B260" s="8" t="s">
        <v>61</v>
      </c>
      <c r="C260" s="9" t="s">
        <v>278</v>
      </c>
      <c r="D260">
        <v>71.900000000000006</v>
      </c>
    </row>
    <row r="261" spans="1:4" ht="40" customHeight="1" x14ac:dyDescent="0.2">
      <c r="A261" s="141">
        <v>54027</v>
      </c>
      <c r="B261" s="24" t="s">
        <v>200</v>
      </c>
      <c r="C261" s="25" t="s">
        <v>343</v>
      </c>
      <c r="D261">
        <v>71.900000000000006</v>
      </c>
    </row>
    <row r="262" spans="1:4" ht="40" customHeight="1" x14ac:dyDescent="0.2">
      <c r="A262" s="141">
        <v>54058</v>
      </c>
      <c r="B262" s="22" t="s">
        <v>183</v>
      </c>
      <c r="C262" s="23" t="s">
        <v>335</v>
      </c>
      <c r="D262">
        <v>72.5</v>
      </c>
    </row>
    <row r="263" spans="1:4" ht="40" customHeight="1" x14ac:dyDescent="0.2">
      <c r="A263" s="141">
        <v>54089</v>
      </c>
      <c r="B263" s="14" t="s">
        <v>112</v>
      </c>
      <c r="C263" s="15" t="s">
        <v>303</v>
      </c>
      <c r="D263">
        <v>72.5</v>
      </c>
    </row>
    <row r="264" spans="1:4" ht="40" customHeight="1" x14ac:dyDescent="0.2">
      <c r="A264" s="141">
        <v>54118</v>
      </c>
      <c r="B264" s="28" t="s">
        <v>234</v>
      </c>
      <c r="C264" s="29" t="s">
        <v>359</v>
      </c>
      <c r="D264">
        <v>72.5</v>
      </c>
    </row>
    <row r="265" spans="1:4" ht="40" customHeight="1" x14ac:dyDescent="0.2">
      <c r="A265" s="141">
        <v>54149</v>
      </c>
      <c r="B265" s="2" t="s">
        <v>4</v>
      </c>
      <c r="C265" s="3" t="s">
        <v>21</v>
      </c>
      <c r="D265">
        <v>73.099999999999994</v>
      </c>
    </row>
    <row r="266" spans="1:4" ht="40" customHeight="1" x14ac:dyDescent="0.2">
      <c r="A266" s="141">
        <v>54179</v>
      </c>
      <c r="B266" s="10" t="s">
        <v>77</v>
      </c>
      <c r="C266" s="11" t="s">
        <v>91</v>
      </c>
      <c r="D266">
        <v>73.099999999999994</v>
      </c>
    </row>
    <row r="267" spans="1:4" ht="40" customHeight="1" x14ac:dyDescent="0.2">
      <c r="A267" s="141">
        <v>54210</v>
      </c>
      <c r="B267" s="14" t="s">
        <v>112</v>
      </c>
      <c r="C267" s="15" t="s">
        <v>126</v>
      </c>
      <c r="D267">
        <v>73.099999999999994</v>
      </c>
    </row>
    <row r="268" spans="1:4" ht="40" customHeight="1" x14ac:dyDescent="0.2">
      <c r="A268" s="141">
        <v>54240</v>
      </c>
      <c r="B268" s="16" t="s">
        <v>130</v>
      </c>
      <c r="C268" s="17" t="s">
        <v>144</v>
      </c>
      <c r="D268">
        <v>73.8</v>
      </c>
    </row>
    <row r="269" spans="1:4" ht="40" customHeight="1" x14ac:dyDescent="0.2">
      <c r="A269" s="141">
        <v>54271</v>
      </c>
      <c r="B269" s="18" t="s">
        <v>148</v>
      </c>
      <c r="C269" s="19" t="s">
        <v>162</v>
      </c>
      <c r="D269">
        <v>73.8</v>
      </c>
    </row>
    <row r="270" spans="1:4" ht="40" customHeight="1" x14ac:dyDescent="0.2">
      <c r="A270" s="141">
        <v>54302</v>
      </c>
      <c r="B270" s="4" t="s">
        <v>25</v>
      </c>
      <c r="C270" s="5" t="s">
        <v>39</v>
      </c>
      <c r="D270">
        <v>73.8</v>
      </c>
    </row>
    <row r="271" spans="1:4" ht="40" customHeight="1" x14ac:dyDescent="0.2">
      <c r="A271" s="141">
        <v>54332</v>
      </c>
      <c r="B271" s="6" t="s">
        <v>43</v>
      </c>
      <c r="C271" s="7" t="s">
        <v>57</v>
      </c>
      <c r="D271">
        <v>74.400000000000006</v>
      </c>
    </row>
    <row r="272" spans="1:4" ht="40" customHeight="1" x14ac:dyDescent="0.2">
      <c r="A272" s="141">
        <v>54363</v>
      </c>
      <c r="B272" s="18" t="s">
        <v>148</v>
      </c>
      <c r="C272" s="19" t="s">
        <v>319</v>
      </c>
      <c r="D272">
        <v>74.400000000000006</v>
      </c>
    </row>
    <row r="273" spans="1:4" ht="40" customHeight="1" x14ac:dyDescent="0.2">
      <c r="A273" s="141">
        <v>54393</v>
      </c>
      <c r="B273" s="4" t="s">
        <v>25</v>
      </c>
      <c r="C273" s="5" t="s">
        <v>263</v>
      </c>
      <c r="D273">
        <v>74.400000000000006</v>
      </c>
    </row>
    <row r="274" spans="1:4" ht="40" customHeight="1" x14ac:dyDescent="0.2">
      <c r="A274" s="141">
        <v>54424</v>
      </c>
      <c r="B274" s="6" t="s">
        <v>43</v>
      </c>
      <c r="C274" s="7" t="s">
        <v>270</v>
      </c>
      <c r="D274">
        <v>75</v>
      </c>
    </row>
    <row r="275" spans="1:4" ht="40" customHeight="1" x14ac:dyDescent="0.2">
      <c r="A275" s="141">
        <v>54455</v>
      </c>
      <c r="B275" s="10" t="s">
        <v>77</v>
      </c>
      <c r="C275" s="11" t="s">
        <v>288</v>
      </c>
      <c r="D275">
        <v>75</v>
      </c>
    </row>
    <row r="276" spans="1:4" ht="40" customHeight="1" x14ac:dyDescent="0.2">
      <c r="A276" s="141">
        <v>54483</v>
      </c>
      <c r="B276" s="12" t="s">
        <v>95</v>
      </c>
      <c r="C276" s="13" t="s">
        <v>296</v>
      </c>
      <c r="D276">
        <v>75</v>
      </c>
    </row>
    <row r="277" spans="1:4" ht="40" customHeight="1" x14ac:dyDescent="0.2">
      <c r="A277" s="141">
        <v>54514</v>
      </c>
      <c r="B277" s="16" t="s">
        <v>130</v>
      </c>
      <c r="C277" s="17" t="s">
        <v>312</v>
      </c>
      <c r="D277">
        <v>75.599999999999994</v>
      </c>
    </row>
    <row r="278" spans="1:4" ht="40" customHeight="1" x14ac:dyDescent="0.2">
      <c r="A278" s="141">
        <v>54544</v>
      </c>
      <c r="B278" s="8" t="s">
        <v>61</v>
      </c>
      <c r="C278" s="9" t="s">
        <v>74</v>
      </c>
      <c r="D278">
        <v>75.599999999999994</v>
      </c>
    </row>
    <row r="279" spans="1:4" ht="40" customHeight="1" x14ac:dyDescent="0.2">
      <c r="A279" s="141">
        <v>54575</v>
      </c>
      <c r="B279" s="12" t="s">
        <v>95</v>
      </c>
      <c r="C279" s="13" t="s">
        <v>109</v>
      </c>
      <c r="D279">
        <v>75.599999999999994</v>
      </c>
    </row>
    <row r="280" spans="1:4" ht="40" customHeight="1" x14ac:dyDescent="0.2">
      <c r="A280" s="141">
        <v>54605</v>
      </c>
      <c r="B280" s="20" t="s">
        <v>166</v>
      </c>
      <c r="C280" s="21" t="s">
        <v>180</v>
      </c>
      <c r="D280">
        <v>76.2</v>
      </c>
    </row>
    <row r="281" spans="1:4" ht="40" customHeight="1" x14ac:dyDescent="0.2">
      <c r="A281" s="141">
        <v>54636</v>
      </c>
      <c r="B281" s="22" t="s">
        <v>183</v>
      </c>
      <c r="C281" s="23" t="s">
        <v>197</v>
      </c>
      <c r="D281">
        <v>76.2</v>
      </c>
    </row>
    <row r="282" spans="1:4" ht="40" customHeight="1" x14ac:dyDescent="0.2">
      <c r="A282" s="141">
        <v>54667</v>
      </c>
      <c r="B282" s="24" t="s">
        <v>200</v>
      </c>
      <c r="C282" s="25" t="s">
        <v>214</v>
      </c>
      <c r="D282">
        <v>76.2</v>
      </c>
    </row>
    <row r="283" spans="1:4" ht="40" customHeight="1" x14ac:dyDescent="0.2">
      <c r="A283" s="141">
        <v>54697</v>
      </c>
      <c r="B283" s="26" t="s">
        <v>217</v>
      </c>
      <c r="C283" s="27" t="s">
        <v>231</v>
      </c>
      <c r="D283">
        <v>76.7</v>
      </c>
    </row>
    <row r="284" spans="1:4" ht="40" customHeight="1" x14ac:dyDescent="0.2">
      <c r="A284" s="141">
        <v>54728</v>
      </c>
      <c r="B284" s="28" t="s">
        <v>234</v>
      </c>
      <c r="C284" s="29" t="s">
        <v>248</v>
      </c>
      <c r="D284">
        <v>76.7</v>
      </c>
    </row>
    <row r="285" spans="1:4" ht="40" customHeight="1" x14ac:dyDescent="0.2">
      <c r="A285" s="141">
        <v>54758</v>
      </c>
      <c r="B285" s="2" t="s">
        <v>4</v>
      </c>
      <c r="C285" s="3" t="s">
        <v>22</v>
      </c>
      <c r="D285">
        <v>76.7</v>
      </c>
    </row>
    <row r="286" spans="1:4" ht="40" customHeight="1" x14ac:dyDescent="0.2">
      <c r="A286" s="141">
        <v>54789</v>
      </c>
      <c r="B286" s="8" t="s">
        <v>61</v>
      </c>
      <c r="C286" s="9" t="s">
        <v>279</v>
      </c>
      <c r="D286">
        <v>77.3</v>
      </c>
    </row>
    <row r="287" spans="1:4" ht="40" customHeight="1" x14ac:dyDescent="0.2">
      <c r="A287" s="141">
        <v>54820</v>
      </c>
      <c r="B287" s="20" t="s">
        <v>166</v>
      </c>
      <c r="C287" s="21" t="s">
        <v>328</v>
      </c>
      <c r="D287">
        <v>77.3</v>
      </c>
    </row>
    <row r="288" spans="1:4" ht="40" customHeight="1" x14ac:dyDescent="0.2">
      <c r="A288" s="141">
        <v>54848</v>
      </c>
      <c r="B288" s="26" t="s">
        <v>217</v>
      </c>
      <c r="C288" s="27" t="s">
        <v>352</v>
      </c>
      <c r="D288">
        <v>77.3</v>
      </c>
    </row>
    <row r="289" spans="1:4" ht="40" customHeight="1" x14ac:dyDescent="0.2">
      <c r="A289" s="141">
        <v>54879</v>
      </c>
      <c r="B289" s="6" t="s">
        <v>43</v>
      </c>
      <c r="C289" s="7" t="s">
        <v>271</v>
      </c>
      <c r="D289">
        <v>77.8</v>
      </c>
    </row>
    <row r="290" spans="1:4" ht="40" customHeight="1" x14ac:dyDescent="0.2">
      <c r="A290" s="141">
        <v>54909</v>
      </c>
      <c r="B290" s="24" t="s">
        <v>200</v>
      </c>
      <c r="C290" s="25" t="s">
        <v>344</v>
      </c>
      <c r="D290">
        <v>77.8</v>
      </c>
    </row>
    <row r="291" spans="1:4" ht="40" customHeight="1" x14ac:dyDescent="0.2">
      <c r="A291" s="141">
        <v>54940</v>
      </c>
      <c r="B291" s="22" t="s">
        <v>183</v>
      </c>
      <c r="C291" s="23" t="s">
        <v>336</v>
      </c>
      <c r="D291">
        <v>77.8</v>
      </c>
    </row>
    <row r="292" spans="1:4" ht="40" customHeight="1" x14ac:dyDescent="0.2">
      <c r="A292" s="141">
        <v>54970</v>
      </c>
      <c r="B292" s="14" t="s">
        <v>112</v>
      </c>
      <c r="C292" s="15" t="s">
        <v>304</v>
      </c>
      <c r="D292">
        <v>78.400000000000006</v>
      </c>
    </row>
    <row r="293" spans="1:4" ht="40" customHeight="1" x14ac:dyDescent="0.2">
      <c r="A293" s="141">
        <v>55001</v>
      </c>
      <c r="B293" s="28" t="s">
        <v>234</v>
      </c>
      <c r="C293" s="29" t="s">
        <v>360</v>
      </c>
      <c r="D293">
        <v>78.400000000000006</v>
      </c>
    </row>
    <row r="294" spans="1:4" ht="40" customHeight="1" x14ac:dyDescent="0.2">
      <c r="A294" s="141">
        <v>55032</v>
      </c>
      <c r="B294" s="4" t="s">
        <v>25</v>
      </c>
      <c r="C294" s="5" t="s">
        <v>40</v>
      </c>
      <c r="D294">
        <v>78.400000000000006</v>
      </c>
    </row>
    <row r="295" spans="1:4" ht="40" customHeight="1" x14ac:dyDescent="0.2">
      <c r="A295" s="141">
        <v>55062</v>
      </c>
      <c r="B295" s="6" t="s">
        <v>43</v>
      </c>
      <c r="C295" s="7" t="s">
        <v>58</v>
      </c>
      <c r="D295">
        <v>78.900000000000006</v>
      </c>
    </row>
    <row r="296" spans="1:4" ht="40" customHeight="1" x14ac:dyDescent="0.2">
      <c r="A296" s="141">
        <v>55093</v>
      </c>
      <c r="B296" s="10" t="s">
        <v>77</v>
      </c>
      <c r="C296" s="11" t="s">
        <v>92</v>
      </c>
      <c r="D296">
        <v>78.900000000000006</v>
      </c>
    </row>
    <row r="297" spans="1:4" ht="40" customHeight="1" x14ac:dyDescent="0.2">
      <c r="A297" s="141">
        <v>55123</v>
      </c>
      <c r="B297" s="14" t="s">
        <v>112</v>
      </c>
      <c r="C297" s="15" t="s">
        <v>127</v>
      </c>
      <c r="D297">
        <v>78.900000000000006</v>
      </c>
    </row>
    <row r="298" spans="1:4" ht="40" customHeight="1" x14ac:dyDescent="0.2">
      <c r="A298" s="141">
        <v>55154</v>
      </c>
      <c r="B298" s="16" t="s">
        <v>130</v>
      </c>
      <c r="C298" s="17" t="s">
        <v>145</v>
      </c>
      <c r="D298">
        <v>78.8</v>
      </c>
    </row>
    <row r="299" spans="1:4" ht="40" customHeight="1" x14ac:dyDescent="0.2">
      <c r="A299" s="141">
        <v>55185</v>
      </c>
      <c r="B299" s="18" t="s">
        <v>148</v>
      </c>
      <c r="C299" s="19" t="s">
        <v>163</v>
      </c>
      <c r="D299">
        <v>78.8</v>
      </c>
    </row>
    <row r="300" spans="1:4" ht="40" customHeight="1" x14ac:dyDescent="0.2">
      <c r="A300" s="141">
        <v>55213</v>
      </c>
      <c r="B300" s="2" t="s">
        <v>4</v>
      </c>
      <c r="C300" s="3" t="s">
        <v>258</v>
      </c>
      <c r="D300">
        <v>78.8</v>
      </c>
    </row>
    <row r="301" spans="1:4" ht="40" customHeight="1" x14ac:dyDescent="0.2">
      <c r="A301" s="141">
        <v>55244</v>
      </c>
      <c r="B301" s="18" t="s">
        <v>148</v>
      </c>
      <c r="C301" s="19" t="s">
        <v>320</v>
      </c>
      <c r="D301">
        <v>78.900000000000006</v>
      </c>
    </row>
    <row r="302" spans="1:4" ht="40" customHeight="1" x14ac:dyDescent="0.2">
      <c r="A302" s="141">
        <v>55274</v>
      </c>
      <c r="B302" s="10" t="s">
        <v>77</v>
      </c>
      <c r="C302" s="11" t="s">
        <v>289</v>
      </c>
      <c r="D302">
        <v>78.900000000000006</v>
      </c>
    </row>
    <row r="303" spans="1:4" ht="40" customHeight="1" x14ac:dyDescent="0.2">
      <c r="A303" s="141">
        <v>55305</v>
      </c>
      <c r="B303" s="4" t="s">
        <v>25</v>
      </c>
      <c r="C303" s="5" t="s">
        <v>264</v>
      </c>
      <c r="D303">
        <v>78.900000000000006</v>
      </c>
    </row>
    <row r="304" spans="1:4" ht="40" customHeight="1" x14ac:dyDescent="0.2">
      <c r="A304" s="141">
        <v>55335</v>
      </c>
      <c r="B304" s="8" t="s">
        <v>61</v>
      </c>
      <c r="C304" s="9" t="s">
        <v>280</v>
      </c>
      <c r="D304">
        <v>79</v>
      </c>
    </row>
    <row r="305" spans="1:4" ht="40" customHeight="1" x14ac:dyDescent="0.2">
      <c r="A305" s="141">
        <v>55366</v>
      </c>
      <c r="B305" s="12" t="s">
        <v>95</v>
      </c>
      <c r="C305" s="13" t="s">
        <v>297</v>
      </c>
      <c r="D305">
        <v>79</v>
      </c>
    </row>
    <row r="306" spans="1:4" ht="40" customHeight="1" x14ac:dyDescent="0.2">
      <c r="A306" s="141">
        <v>55397</v>
      </c>
      <c r="B306" s="6" t="s">
        <v>43</v>
      </c>
      <c r="C306" s="7" t="s">
        <v>272</v>
      </c>
      <c r="D306">
        <v>79</v>
      </c>
    </row>
    <row r="307" spans="1:4" ht="40" customHeight="1" x14ac:dyDescent="0.2">
      <c r="A307" s="141">
        <v>55427</v>
      </c>
      <c r="B307" s="20" t="s">
        <v>166</v>
      </c>
      <c r="C307" s="21" t="s">
        <v>329</v>
      </c>
      <c r="D307">
        <v>79.099999999999994</v>
      </c>
    </row>
    <row r="308" spans="1:4" ht="40" customHeight="1" x14ac:dyDescent="0.2">
      <c r="A308" s="141">
        <v>55458</v>
      </c>
      <c r="B308" s="26" t="s">
        <v>217</v>
      </c>
      <c r="C308" s="27" t="s">
        <v>353</v>
      </c>
      <c r="D308">
        <v>79.099999999999994</v>
      </c>
    </row>
    <row r="309" spans="1:4" ht="40" customHeight="1" x14ac:dyDescent="0.2">
      <c r="A309" s="141">
        <v>55488</v>
      </c>
      <c r="B309" s="16" t="s">
        <v>130</v>
      </c>
      <c r="C309" s="17" t="s">
        <v>313</v>
      </c>
      <c r="D309">
        <v>79.099999999999994</v>
      </c>
    </row>
    <row r="310" spans="1:4" ht="40" customHeight="1" x14ac:dyDescent="0.2">
      <c r="A310" s="141">
        <v>55519</v>
      </c>
      <c r="B310" s="24" t="s">
        <v>200</v>
      </c>
      <c r="C310" s="25" t="s">
        <v>345</v>
      </c>
      <c r="D310">
        <v>79.2</v>
      </c>
    </row>
    <row r="311" spans="1:4" ht="40" customHeight="1" x14ac:dyDescent="0.2">
      <c r="A311" s="141">
        <v>55550</v>
      </c>
      <c r="B311" s="22" t="s">
        <v>183</v>
      </c>
      <c r="C311" s="23" t="s">
        <v>337</v>
      </c>
      <c r="D311">
        <v>79.2</v>
      </c>
    </row>
    <row r="312" spans="1:4" ht="40" customHeight="1" x14ac:dyDescent="0.2">
      <c r="A312" s="141">
        <v>55579</v>
      </c>
      <c r="B312" s="14" t="s">
        <v>112</v>
      </c>
      <c r="C312" s="15" t="s">
        <v>305</v>
      </c>
      <c r="D312">
        <v>79.2</v>
      </c>
    </row>
    <row r="313" spans="1:4" ht="40" customHeight="1" x14ac:dyDescent="0.2">
      <c r="A313" s="141">
        <v>55610</v>
      </c>
      <c r="B313" s="28" t="s">
        <v>234</v>
      </c>
      <c r="C313" s="29" t="s">
        <v>361</v>
      </c>
      <c r="D313">
        <v>79.5</v>
      </c>
    </row>
    <row r="314" spans="1:4" ht="40" customHeight="1" x14ac:dyDescent="0.2">
      <c r="A314" s="141">
        <v>55640</v>
      </c>
      <c r="B314" s="2" t="s">
        <v>4</v>
      </c>
      <c r="C314" s="3" t="s">
        <v>23</v>
      </c>
      <c r="D314">
        <v>79.5</v>
      </c>
    </row>
    <row r="315" spans="1:4" ht="40" customHeight="1" x14ac:dyDescent="0.2">
      <c r="A315" s="141">
        <v>55671</v>
      </c>
      <c r="B315" s="8" t="s">
        <v>61</v>
      </c>
      <c r="C315" s="9" t="s">
        <v>75</v>
      </c>
      <c r="D315">
        <v>79.5</v>
      </c>
    </row>
    <row r="316" spans="1:4" ht="40" customHeight="1" x14ac:dyDescent="0.2">
      <c r="A316" s="141">
        <v>55701</v>
      </c>
      <c r="B316" s="12" t="s">
        <v>95</v>
      </c>
      <c r="C316" s="13" t="s">
        <v>110</v>
      </c>
      <c r="D316">
        <v>79.7</v>
      </c>
    </row>
    <row r="317" spans="1:4" ht="40" customHeight="1" x14ac:dyDescent="0.2">
      <c r="A317" s="141">
        <v>55732</v>
      </c>
      <c r="B317" s="20" t="s">
        <v>166</v>
      </c>
      <c r="C317" s="21" t="s">
        <v>181</v>
      </c>
      <c r="D317">
        <v>79.7</v>
      </c>
    </row>
    <row r="318" spans="1:4" ht="40" customHeight="1" x14ac:dyDescent="0.2">
      <c r="A318" s="141">
        <v>55763</v>
      </c>
      <c r="B318" s="22" t="s">
        <v>183</v>
      </c>
      <c r="C318" s="23" t="s">
        <v>198</v>
      </c>
      <c r="D318">
        <v>79.7</v>
      </c>
    </row>
    <row r="319" spans="1:4" ht="40" customHeight="1" x14ac:dyDescent="0.2">
      <c r="A319" s="141">
        <v>55793</v>
      </c>
      <c r="B319" s="24" t="s">
        <v>200</v>
      </c>
      <c r="C319" s="25" t="s">
        <v>215</v>
      </c>
      <c r="D319">
        <v>79.900000000000006</v>
      </c>
    </row>
    <row r="320" spans="1:4" ht="40" customHeight="1" x14ac:dyDescent="0.2">
      <c r="A320" s="141">
        <v>55824</v>
      </c>
      <c r="B320" s="26" t="s">
        <v>217</v>
      </c>
      <c r="C320" s="27" t="s">
        <v>232</v>
      </c>
      <c r="D320">
        <v>79.900000000000006</v>
      </c>
    </row>
    <row r="321" spans="1:4" ht="40" customHeight="1" x14ac:dyDescent="0.2">
      <c r="A321" s="141">
        <v>55854</v>
      </c>
      <c r="B321" s="28" t="s">
        <v>234</v>
      </c>
      <c r="C321" s="29" t="s">
        <v>249</v>
      </c>
      <c r="D321">
        <v>79.900000000000006</v>
      </c>
    </row>
    <row r="322" spans="1:4" ht="40" customHeight="1" x14ac:dyDescent="0.2">
      <c r="A322" s="141">
        <v>55885</v>
      </c>
      <c r="B322" s="4" t="s">
        <v>25</v>
      </c>
      <c r="C322" s="5" t="s">
        <v>41</v>
      </c>
      <c r="D322">
        <v>80.3</v>
      </c>
    </row>
    <row r="323" spans="1:4" ht="40" customHeight="1" x14ac:dyDescent="0.2">
      <c r="A323" s="141">
        <v>55916</v>
      </c>
      <c r="B323" s="10" t="s">
        <v>77</v>
      </c>
      <c r="C323" s="11" t="s">
        <v>93</v>
      </c>
      <c r="D323">
        <v>80.3</v>
      </c>
    </row>
    <row r="324" spans="1:4" ht="40" customHeight="1" x14ac:dyDescent="0.2">
      <c r="A324" s="141">
        <v>55944</v>
      </c>
      <c r="B324" s="18" t="s">
        <v>148</v>
      </c>
      <c r="C324" s="19" t="s">
        <v>321</v>
      </c>
      <c r="D324">
        <v>80.3</v>
      </c>
    </row>
    <row r="325" spans="1:4" ht="40" customHeight="1" x14ac:dyDescent="0.2">
      <c r="A325" s="141">
        <v>55975</v>
      </c>
      <c r="B325" s="6" t="s">
        <v>43</v>
      </c>
      <c r="C325" s="7" t="s">
        <v>59</v>
      </c>
      <c r="D325">
        <v>80.599999999999994</v>
      </c>
    </row>
    <row r="326" spans="1:4" ht="40" customHeight="1" x14ac:dyDescent="0.2">
      <c r="A326" s="141">
        <v>56005</v>
      </c>
      <c r="B326" s="14" t="s">
        <v>112</v>
      </c>
      <c r="C326" s="15" t="s">
        <v>128</v>
      </c>
      <c r="D326">
        <v>80.599999999999994</v>
      </c>
    </row>
    <row r="327" spans="1:4" ht="40" customHeight="1" x14ac:dyDescent="0.2">
      <c r="A327" s="141">
        <v>56036</v>
      </c>
      <c r="B327" s="16" t="s">
        <v>130</v>
      </c>
      <c r="C327" s="17" t="s">
        <v>146</v>
      </c>
      <c r="D327">
        <v>80.599999999999994</v>
      </c>
    </row>
    <row r="328" spans="1:4" ht="40" customHeight="1" x14ac:dyDescent="0.2">
      <c r="A328" s="141">
        <v>56066</v>
      </c>
      <c r="B328" s="18" t="s">
        <v>148</v>
      </c>
      <c r="C328" s="19" t="s">
        <v>164</v>
      </c>
      <c r="D328">
        <v>81</v>
      </c>
    </row>
    <row r="329" spans="1:4" ht="40" customHeight="1" x14ac:dyDescent="0.2">
      <c r="A329" s="141">
        <v>56097</v>
      </c>
      <c r="B329" s="10" t="s">
        <v>77</v>
      </c>
      <c r="C329" s="11" t="s">
        <v>290</v>
      </c>
      <c r="D329">
        <v>81</v>
      </c>
    </row>
    <row r="330" spans="1:4" ht="40" customHeight="1" x14ac:dyDescent="0.2">
      <c r="A330" s="141">
        <v>56128</v>
      </c>
      <c r="B330" s="8" t="s">
        <v>61</v>
      </c>
      <c r="C330" s="9" t="s">
        <v>281</v>
      </c>
      <c r="D330">
        <v>81</v>
      </c>
    </row>
    <row r="331" spans="1:4" ht="40" customHeight="1" x14ac:dyDescent="0.2">
      <c r="A331" s="141">
        <v>56158</v>
      </c>
      <c r="B331" s="6" t="s">
        <v>43</v>
      </c>
      <c r="C331" s="7" t="s">
        <v>273</v>
      </c>
      <c r="D331">
        <v>81.5</v>
      </c>
    </row>
    <row r="332" spans="1:4" ht="40" customHeight="1" x14ac:dyDescent="0.2">
      <c r="A332" s="141">
        <v>56189</v>
      </c>
      <c r="B332" s="28" t="s">
        <v>234</v>
      </c>
      <c r="C332" s="29" t="s">
        <v>362</v>
      </c>
      <c r="D332">
        <v>81.5</v>
      </c>
    </row>
    <row r="333" spans="1:4" ht="40" customHeight="1" x14ac:dyDescent="0.2">
      <c r="A333" s="141">
        <v>56219</v>
      </c>
      <c r="B333" s="2" t="s">
        <v>4</v>
      </c>
      <c r="C333" s="3" t="s">
        <v>24</v>
      </c>
      <c r="D333">
        <v>81.5</v>
      </c>
    </row>
    <row r="334" spans="1:4" ht="40" customHeight="1" x14ac:dyDescent="0.2">
      <c r="A334" s="141">
        <v>56250</v>
      </c>
      <c r="B334" s="6" t="s">
        <v>43</v>
      </c>
      <c r="C334" s="7" t="s">
        <v>60</v>
      </c>
      <c r="D334">
        <v>81.900000000000006</v>
      </c>
    </row>
    <row r="335" spans="1:4" ht="40" customHeight="1" x14ac:dyDescent="0.2">
      <c r="A335" s="141">
        <v>56281</v>
      </c>
      <c r="B335" s="8" t="s">
        <v>61</v>
      </c>
      <c r="C335" s="9" t="s">
        <v>76</v>
      </c>
      <c r="D335">
        <v>81.900000000000006</v>
      </c>
    </row>
    <row r="336" spans="1:4" ht="40" customHeight="1" x14ac:dyDescent="0.2">
      <c r="A336" s="141">
        <v>56309</v>
      </c>
      <c r="B336" s="10" t="s">
        <v>77</v>
      </c>
      <c r="C336" s="11" t="s">
        <v>94</v>
      </c>
      <c r="D336">
        <v>81.900000000000006</v>
      </c>
    </row>
    <row r="337" spans="1:4" ht="40" customHeight="1" x14ac:dyDescent="0.2">
      <c r="A337" s="141">
        <v>56340</v>
      </c>
      <c r="B337" s="12" t="s">
        <v>95</v>
      </c>
      <c r="C337" s="13" t="s">
        <v>111</v>
      </c>
      <c r="D337">
        <v>82.5</v>
      </c>
    </row>
    <row r="338" spans="1:4" ht="40" customHeight="1" x14ac:dyDescent="0.2">
      <c r="A338" s="141">
        <v>56370</v>
      </c>
      <c r="B338" s="14" t="s">
        <v>112</v>
      </c>
      <c r="C338" s="15" t="s">
        <v>129</v>
      </c>
      <c r="D338">
        <v>82.5</v>
      </c>
    </row>
    <row r="339" spans="1:4" ht="40" customHeight="1" x14ac:dyDescent="0.2">
      <c r="A339" s="141">
        <v>56401</v>
      </c>
      <c r="B339" s="16" t="s">
        <v>130</v>
      </c>
      <c r="C339" s="17" t="s">
        <v>147</v>
      </c>
      <c r="D339">
        <v>82.5</v>
      </c>
    </row>
    <row r="340" spans="1:4" ht="40" customHeight="1" x14ac:dyDescent="0.2">
      <c r="A340" s="141">
        <v>56431</v>
      </c>
      <c r="B340" s="18" t="s">
        <v>148</v>
      </c>
      <c r="C340" s="19" t="s">
        <v>165</v>
      </c>
      <c r="D340">
        <v>83</v>
      </c>
    </row>
    <row r="341" spans="1:4" ht="40" customHeight="1" x14ac:dyDescent="0.2">
      <c r="A341" s="141">
        <v>56462</v>
      </c>
      <c r="B341" s="20" t="s">
        <v>166</v>
      </c>
      <c r="C341" s="21" t="s">
        <v>182</v>
      </c>
      <c r="D341">
        <v>83</v>
      </c>
    </row>
    <row r="342" spans="1:4" ht="40" customHeight="1" x14ac:dyDescent="0.2">
      <c r="A342" s="141">
        <v>56493</v>
      </c>
      <c r="B342" s="22" t="s">
        <v>183</v>
      </c>
      <c r="C342" s="23" t="s">
        <v>199</v>
      </c>
      <c r="D342">
        <v>83</v>
      </c>
    </row>
    <row r="343" spans="1:4" ht="40" customHeight="1" x14ac:dyDescent="0.2">
      <c r="A343" s="141">
        <v>56523</v>
      </c>
      <c r="B343" s="24" t="s">
        <v>200</v>
      </c>
      <c r="C343" s="25" t="s">
        <v>216</v>
      </c>
      <c r="D343">
        <v>83.6</v>
      </c>
    </row>
    <row r="344" spans="1:4" ht="40" customHeight="1" x14ac:dyDescent="0.2">
      <c r="A344" s="141">
        <v>56554</v>
      </c>
      <c r="B344" s="26" t="s">
        <v>217</v>
      </c>
      <c r="C344" s="27" t="s">
        <v>233</v>
      </c>
      <c r="D344">
        <v>83.6</v>
      </c>
    </row>
    <row r="345" spans="1:4" ht="40" customHeight="1" x14ac:dyDescent="0.2">
      <c r="A345" s="141">
        <v>56584</v>
      </c>
      <c r="B345" s="28" t="s">
        <v>234</v>
      </c>
      <c r="C345" s="29" t="s">
        <v>250</v>
      </c>
      <c r="D345">
        <v>83.6</v>
      </c>
    </row>
    <row r="346" spans="1:4" ht="40" customHeight="1" x14ac:dyDescent="0.2">
      <c r="A346" s="141">
        <v>56615</v>
      </c>
      <c r="B346" s="4" t="s">
        <v>25</v>
      </c>
      <c r="C346" s="5" t="s">
        <v>42</v>
      </c>
      <c r="D346">
        <v>84.3</v>
      </c>
    </row>
  </sheetData>
  <autoFilter ref="A1:C3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7"/>
  <sheetViews>
    <sheetView workbookViewId="0">
      <pane ySplit="1" topLeftCell="A98" activePane="bottomLeft" state="frozen"/>
      <selection pane="bottomLeft" activeCell="Q116" sqref="Q116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14" customWidth="1"/>
    <col min="4" max="6" width="16" customWidth="1"/>
    <col min="7" max="7" width="12" customWidth="1"/>
    <col min="8" max="17" width="14" customWidth="1"/>
    <col min="18" max="18" width="50" customWidth="1"/>
  </cols>
  <sheetData>
    <row r="1" spans="1:18" ht="60" customHeight="1" x14ac:dyDescent="0.2">
      <c r="A1" s="30" t="s">
        <v>1</v>
      </c>
      <c r="B1" s="30" t="s">
        <v>363</v>
      </c>
      <c r="C1" s="30" t="s">
        <v>364</v>
      </c>
      <c r="D1" s="30" t="s">
        <v>365</v>
      </c>
      <c r="E1" s="30" t="s">
        <v>366</v>
      </c>
      <c r="F1" s="30" t="s">
        <v>367</v>
      </c>
      <c r="G1" s="30" t="s">
        <v>368</v>
      </c>
      <c r="H1" s="30" t="s">
        <v>369</v>
      </c>
      <c r="I1" s="30" t="s">
        <v>370</v>
      </c>
      <c r="J1" s="30" t="s">
        <v>371</v>
      </c>
      <c r="K1" s="30" t="s">
        <v>372</v>
      </c>
      <c r="L1" s="30" t="s">
        <v>373</v>
      </c>
      <c r="M1" s="30" t="s">
        <v>374</v>
      </c>
      <c r="N1" s="30" t="s">
        <v>375</v>
      </c>
      <c r="O1" s="30" t="s">
        <v>376</v>
      </c>
      <c r="P1" s="30" t="s">
        <v>377</v>
      </c>
      <c r="Q1" s="31" t="s">
        <v>378</v>
      </c>
      <c r="R1" s="30" t="s">
        <v>379</v>
      </c>
    </row>
    <row r="2" spans="1:18" ht="18" customHeight="1" x14ac:dyDescent="0.2">
      <c r="A2" s="32">
        <v>2026</v>
      </c>
      <c r="B2" s="32" t="s">
        <v>380</v>
      </c>
      <c r="C2" s="33">
        <v>0.67</v>
      </c>
      <c r="D2" s="33">
        <v>19.8</v>
      </c>
      <c r="E2" s="33">
        <v>54</v>
      </c>
      <c r="F2" s="33">
        <v>8.5</v>
      </c>
      <c r="G2" s="33">
        <v>0.89</v>
      </c>
      <c r="H2" s="33">
        <v>22</v>
      </c>
      <c r="I2" s="33">
        <v>18</v>
      </c>
      <c r="J2" s="34">
        <v>28</v>
      </c>
      <c r="K2" s="34">
        <v>22</v>
      </c>
      <c r="L2" s="34">
        <v>31</v>
      </c>
      <c r="M2" s="34">
        <v>35</v>
      </c>
      <c r="N2" s="34">
        <v>24</v>
      </c>
      <c r="O2" s="34">
        <v>20</v>
      </c>
      <c r="P2" s="34">
        <v>18</v>
      </c>
      <c r="Q2" s="35">
        <f t="shared" ref="Q2:Q33" si="0">ROUND(AVERAGE(I2:P2),1)</f>
        <v>24.5</v>
      </c>
      <c r="R2" s="36"/>
    </row>
    <row r="3" spans="1:18" ht="18" customHeight="1" x14ac:dyDescent="0.2">
      <c r="A3" s="32">
        <v>2026</v>
      </c>
      <c r="B3" s="32" t="s">
        <v>381</v>
      </c>
      <c r="C3" s="33">
        <v>0.67</v>
      </c>
      <c r="D3" s="33">
        <v>19.8</v>
      </c>
      <c r="E3" s="33">
        <v>53.99</v>
      </c>
      <c r="F3" s="33">
        <v>8.5</v>
      </c>
      <c r="G3" s="33">
        <v>0.89</v>
      </c>
      <c r="H3" s="33">
        <v>21.99</v>
      </c>
      <c r="I3" s="33">
        <v>17.7</v>
      </c>
      <c r="J3" s="34">
        <v>28.01</v>
      </c>
      <c r="K3" s="34">
        <v>22.01</v>
      </c>
      <c r="L3" s="34">
        <v>31.02</v>
      </c>
      <c r="M3" s="34">
        <v>35.020000000000003</v>
      </c>
      <c r="N3" s="34">
        <v>24.02</v>
      </c>
      <c r="O3" s="34">
        <v>20.02</v>
      </c>
      <c r="P3" s="34">
        <v>18.010000000000002</v>
      </c>
      <c r="Q3" s="37">
        <f t="shared" si="0"/>
        <v>24.5</v>
      </c>
      <c r="R3" s="36"/>
    </row>
    <row r="4" spans="1:18" ht="18" customHeight="1" x14ac:dyDescent="0.2">
      <c r="A4" s="32">
        <v>2026</v>
      </c>
      <c r="B4" s="32" t="s">
        <v>382</v>
      </c>
      <c r="C4" s="33">
        <v>0.67</v>
      </c>
      <c r="D4" s="33">
        <v>19.79</v>
      </c>
      <c r="E4" s="33">
        <v>53.97</v>
      </c>
      <c r="F4" s="33">
        <v>8.52</v>
      </c>
      <c r="G4" s="33">
        <v>0.89</v>
      </c>
      <c r="H4" s="33">
        <v>21.98</v>
      </c>
      <c r="I4" s="33">
        <v>17.39</v>
      </c>
      <c r="J4" s="34">
        <v>28.03</v>
      </c>
      <c r="K4" s="34">
        <v>22.03</v>
      </c>
      <c r="L4" s="34">
        <v>31.07</v>
      </c>
      <c r="M4" s="34">
        <v>35.07</v>
      </c>
      <c r="N4" s="34">
        <v>24.08</v>
      </c>
      <c r="O4" s="34">
        <v>20.09</v>
      </c>
      <c r="P4" s="34">
        <v>18.03</v>
      </c>
      <c r="Q4" s="38">
        <f t="shared" si="0"/>
        <v>24.5</v>
      </c>
      <c r="R4" s="36"/>
    </row>
    <row r="5" spans="1:18" ht="45" customHeight="1" x14ac:dyDescent="0.2">
      <c r="A5" s="32">
        <v>2027</v>
      </c>
      <c r="B5" s="32" t="s">
        <v>383</v>
      </c>
      <c r="C5" s="33">
        <v>0.67</v>
      </c>
      <c r="D5" s="33">
        <v>19.77</v>
      </c>
      <c r="E5" s="33">
        <v>53.94</v>
      </c>
      <c r="F5" s="33">
        <v>8.5399999999999991</v>
      </c>
      <c r="G5" s="33">
        <v>0.89</v>
      </c>
      <c r="H5" s="33">
        <v>21.95</v>
      </c>
      <c r="I5" s="33">
        <v>17.100000000000001</v>
      </c>
      <c r="J5" s="34">
        <v>28.06</v>
      </c>
      <c r="K5" s="34">
        <v>22.06</v>
      </c>
      <c r="L5" s="34">
        <v>31.16</v>
      </c>
      <c r="M5" s="34">
        <v>35.159999999999997</v>
      </c>
      <c r="N5" s="34">
        <v>24.18</v>
      </c>
      <c r="O5" s="34">
        <v>20.190000000000001</v>
      </c>
      <c r="P5" s="34">
        <v>18.07</v>
      </c>
      <c r="Q5" s="39">
        <f t="shared" si="0"/>
        <v>24.5</v>
      </c>
      <c r="R5" s="36" t="s">
        <v>384</v>
      </c>
    </row>
    <row r="6" spans="1:18" ht="18" customHeight="1" x14ac:dyDescent="0.2">
      <c r="A6" s="32">
        <v>2027</v>
      </c>
      <c r="B6" s="32" t="s">
        <v>380</v>
      </c>
      <c r="C6" s="33">
        <v>0.67</v>
      </c>
      <c r="D6" s="33">
        <v>19.739999999999998</v>
      </c>
      <c r="E6" s="33">
        <v>53.89</v>
      </c>
      <c r="F6" s="33">
        <v>8.57</v>
      </c>
      <c r="G6" s="33">
        <v>0.89</v>
      </c>
      <c r="H6" s="33">
        <v>21.92</v>
      </c>
      <c r="I6" s="33">
        <v>16.8</v>
      </c>
      <c r="J6" s="34">
        <v>28.11</v>
      </c>
      <c r="K6" s="34">
        <v>22.11</v>
      </c>
      <c r="L6" s="34">
        <v>31.29</v>
      </c>
      <c r="M6" s="34">
        <v>35.28</v>
      </c>
      <c r="N6" s="34">
        <v>24.31</v>
      </c>
      <c r="O6" s="34">
        <v>20.34</v>
      </c>
      <c r="P6" s="34">
        <v>18.12</v>
      </c>
      <c r="Q6" s="40">
        <f t="shared" si="0"/>
        <v>24.5</v>
      </c>
      <c r="R6" s="36"/>
    </row>
    <row r="7" spans="1:18" ht="18" customHeight="1" x14ac:dyDescent="0.2">
      <c r="A7" s="32">
        <v>2027</v>
      </c>
      <c r="B7" s="32" t="s">
        <v>381</v>
      </c>
      <c r="C7" s="33">
        <v>0.67</v>
      </c>
      <c r="D7" s="33">
        <v>19.71</v>
      </c>
      <c r="E7" s="33">
        <v>53.83</v>
      </c>
      <c r="F7" s="33">
        <v>8.6</v>
      </c>
      <c r="G7" s="33">
        <v>0.89</v>
      </c>
      <c r="H7" s="33">
        <v>21.87</v>
      </c>
      <c r="I7" s="33">
        <v>16.510000000000002</v>
      </c>
      <c r="J7" s="34">
        <v>28.17</v>
      </c>
      <c r="K7" s="34">
        <v>22.17</v>
      </c>
      <c r="L7" s="34">
        <v>31.45</v>
      </c>
      <c r="M7" s="34">
        <v>35.43</v>
      </c>
      <c r="N7" s="34">
        <v>24.48</v>
      </c>
      <c r="O7" s="34">
        <v>20.53</v>
      </c>
      <c r="P7" s="34">
        <v>18.18</v>
      </c>
      <c r="Q7" s="41">
        <f t="shared" si="0"/>
        <v>24.6</v>
      </c>
      <c r="R7" s="36"/>
    </row>
    <row r="8" spans="1:18" ht="18" customHeight="1" x14ac:dyDescent="0.2">
      <c r="A8" s="32">
        <v>2027</v>
      </c>
      <c r="B8" s="32" t="s">
        <v>382</v>
      </c>
      <c r="C8" s="33">
        <v>0.67</v>
      </c>
      <c r="D8" s="33">
        <v>19.670000000000002</v>
      </c>
      <c r="E8" s="33">
        <v>53.76</v>
      </c>
      <c r="F8" s="33">
        <v>8.65</v>
      </c>
      <c r="G8" s="33">
        <v>0.89</v>
      </c>
      <c r="H8" s="33">
        <v>21.82</v>
      </c>
      <c r="I8" s="33">
        <v>16.22</v>
      </c>
      <c r="J8" s="34">
        <v>28.24</v>
      </c>
      <c r="K8" s="34">
        <v>22.25</v>
      </c>
      <c r="L8" s="34">
        <v>31.64</v>
      </c>
      <c r="M8" s="34">
        <v>35.61</v>
      </c>
      <c r="N8" s="34">
        <v>24.69</v>
      </c>
      <c r="O8" s="34">
        <v>20.76</v>
      </c>
      <c r="P8" s="34">
        <v>18.260000000000002</v>
      </c>
      <c r="Q8" s="42">
        <f t="shared" si="0"/>
        <v>24.7</v>
      </c>
      <c r="R8" s="36"/>
    </row>
    <row r="9" spans="1:18" ht="45" customHeight="1" x14ac:dyDescent="0.2">
      <c r="A9" s="32">
        <v>2028</v>
      </c>
      <c r="B9" s="32" t="s">
        <v>383</v>
      </c>
      <c r="C9" s="33">
        <v>0.66</v>
      </c>
      <c r="D9" s="33">
        <v>19.63</v>
      </c>
      <c r="E9" s="33">
        <v>53.68</v>
      </c>
      <c r="F9" s="33">
        <v>8.6999999999999993</v>
      </c>
      <c r="G9" s="33">
        <v>0.88</v>
      </c>
      <c r="H9" s="33">
        <v>21.75</v>
      </c>
      <c r="I9" s="33">
        <v>15.93</v>
      </c>
      <c r="J9" s="34">
        <v>28.33</v>
      </c>
      <c r="K9" s="34">
        <v>22.34</v>
      </c>
      <c r="L9" s="34">
        <v>31.86</v>
      </c>
      <c r="M9" s="34">
        <v>35.83</v>
      </c>
      <c r="N9" s="34">
        <v>24.93</v>
      </c>
      <c r="O9" s="34">
        <v>21.02</v>
      </c>
      <c r="P9" s="34">
        <v>18.36</v>
      </c>
      <c r="Q9" s="43">
        <f t="shared" si="0"/>
        <v>24.8</v>
      </c>
      <c r="R9" s="36" t="s">
        <v>385</v>
      </c>
    </row>
    <row r="10" spans="1:18" ht="18" customHeight="1" x14ac:dyDescent="0.2">
      <c r="A10" s="32">
        <v>2028</v>
      </c>
      <c r="B10" s="32" t="s">
        <v>380</v>
      </c>
      <c r="C10" s="33">
        <v>0.66</v>
      </c>
      <c r="D10" s="33">
        <v>19.579999999999998</v>
      </c>
      <c r="E10" s="33">
        <v>53.58</v>
      </c>
      <c r="F10" s="33">
        <v>8.76</v>
      </c>
      <c r="G10" s="33">
        <v>0.88</v>
      </c>
      <c r="H10" s="33">
        <v>21.68</v>
      </c>
      <c r="I10" s="33">
        <v>15.65</v>
      </c>
      <c r="J10" s="34">
        <v>28.43</v>
      </c>
      <c r="K10" s="34">
        <v>22.44</v>
      </c>
      <c r="L10" s="34">
        <v>32.119999999999997</v>
      </c>
      <c r="M10" s="34">
        <v>36.08</v>
      </c>
      <c r="N10" s="34">
        <v>25.21</v>
      </c>
      <c r="O10" s="34">
        <v>21.32</v>
      </c>
      <c r="P10" s="34">
        <v>18.47</v>
      </c>
      <c r="Q10" s="44">
        <f t="shared" si="0"/>
        <v>25</v>
      </c>
      <c r="R10" s="36"/>
    </row>
    <row r="11" spans="1:18" ht="18" customHeight="1" x14ac:dyDescent="0.2">
      <c r="A11" s="32">
        <v>2028</v>
      </c>
      <c r="B11" s="32" t="s">
        <v>381</v>
      </c>
      <c r="C11" s="33">
        <v>0.66</v>
      </c>
      <c r="D11" s="33">
        <v>19.52</v>
      </c>
      <c r="E11" s="33">
        <v>53.48</v>
      </c>
      <c r="F11" s="33">
        <v>8.82</v>
      </c>
      <c r="G11" s="33">
        <v>0.88</v>
      </c>
      <c r="H11" s="33">
        <v>21.6</v>
      </c>
      <c r="I11" s="33">
        <v>15.37</v>
      </c>
      <c r="J11" s="34">
        <v>28.54</v>
      </c>
      <c r="K11" s="34">
        <v>22.56</v>
      </c>
      <c r="L11" s="34">
        <v>32.4</v>
      </c>
      <c r="M11" s="34">
        <v>36.35</v>
      </c>
      <c r="N11" s="34">
        <v>25.52</v>
      </c>
      <c r="O11" s="34">
        <v>21.66</v>
      </c>
      <c r="P11" s="34">
        <v>18.59</v>
      </c>
      <c r="Q11" s="45">
        <f t="shared" si="0"/>
        <v>25.1</v>
      </c>
      <c r="R11" s="36"/>
    </row>
    <row r="12" spans="1:18" ht="18" customHeight="1" x14ac:dyDescent="0.2">
      <c r="A12" s="32">
        <v>2028</v>
      </c>
      <c r="B12" s="32" t="s">
        <v>382</v>
      </c>
      <c r="C12" s="33">
        <v>0.66</v>
      </c>
      <c r="D12" s="33">
        <v>19.46</v>
      </c>
      <c r="E12" s="33">
        <v>53.36</v>
      </c>
      <c r="F12" s="33">
        <v>8.89</v>
      </c>
      <c r="G12" s="33">
        <v>0.88</v>
      </c>
      <c r="H12" s="33">
        <v>21.51</v>
      </c>
      <c r="I12" s="33">
        <v>15.09</v>
      </c>
      <c r="J12" s="34">
        <v>28.67</v>
      </c>
      <c r="K12" s="34">
        <v>22.69</v>
      </c>
      <c r="L12" s="34">
        <v>32.72</v>
      </c>
      <c r="M12" s="34">
        <v>36.659999999999997</v>
      </c>
      <c r="N12" s="34">
        <v>25.86</v>
      </c>
      <c r="O12" s="34">
        <v>22.04</v>
      </c>
      <c r="P12" s="34">
        <v>18.73</v>
      </c>
      <c r="Q12" s="46">
        <f t="shared" si="0"/>
        <v>25.3</v>
      </c>
      <c r="R12" s="36"/>
    </row>
    <row r="13" spans="1:18" ht="45" customHeight="1" x14ac:dyDescent="0.2">
      <c r="A13" s="32">
        <v>2029</v>
      </c>
      <c r="B13" s="32" t="s">
        <v>383</v>
      </c>
      <c r="C13" s="33">
        <v>0.66</v>
      </c>
      <c r="D13" s="33">
        <v>19.39</v>
      </c>
      <c r="E13" s="33">
        <v>53.23</v>
      </c>
      <c r="F13" s="33">
        <v>8.9700000000000006</v>
      </c>
      <c r="G13" s="33">
        <v>0.87</v>
      </c>
      <c r="H13" s="33">
        <v>21.41</v>
      </c>
      <c r="I13" s="33">
        <v>14.82</v>
      </c>
      <c r="J13" s="34">
        <v>28.81</v>
      </c>
      <c r="K13" s="34">
        <v>22.83</v>
      </c>
      <c r="L13" s="34">
        <v>33.06</v>
      </c>
      <c r="M13" s="34">
        <v>36.99</v>
      </c>
      <c r="N13" s="34">
        <v>26.24</v>
      </c>
      <c r="O13" s="34">
        <v>22.45</v>
      </c>
      <c r="P13" s="34">
        <v>18.88</v>
      </c>
      <c r="Q13" s="47">
        <f t="shared" si="0"/>
        <v>25.5</v>
      </c>
      <c r="R13" s="36" t="s">
        <v>386</v>
      </c>
    </row>
    <row r="14" spans="1:18" ht="18" customHeight="1" x14ac:dyDescent="0.2">
      <c r="A14" s="32">
        <v>2029</v>
      </c>
      <c r="B14" s="32" t="s">
        <v>380</v>
      </c>
      <c r="C14" s="33">
        <v>0.65</v>
      </c>
      <c r="D14" s="33">
        <v>19.309999999999999</v>
      </c>
      <c r="E14" s="33">
        <v>53.09</v>
      </c>
      <c r="F14" s="33">
        <v>9.06</v>
      </c>
      <c r="G14" s="33">
        <v>0.87</v>
      </c>
      <c r="H14" s="33">
        <v>21.3</v>
      </c>
      <c r="I14" s="33">
        <v>14.55</v>
      </c>
      <c r="J14" s="34">
        <v>28.96</v>
      </c>
      <c r="K14" s="34">
        <v>22.99</v>
      </c>
      <c r="L14" s="34">
        <v>33.44</v>
      </c>
      <c r="M14" s="34">
        <v>37.35</v>
      </c>
      <c r="N14" s="34">
        <v>26.64</v>
      </c>
      <c r="O14" s="34">
        <v>22.89</v>
      </c>
      <c r="P14" s="34">
        <v>19.05</v>
      </c>
      <c r="Q14" s="48">
        <f t="shared" si="0"/>
        <v>25.7</v>
      </c>
      <c r="R14" s="36"/>
    </row>
    <row r="15" spans="1:18" ht="18" customHeight="1" x14ac:dyDescent="0.2">
      <c r="A15" s="32">
        <v>2029</v>
      </c>
      <c r="B15" s="32" t="s">
        <v>381</v>
      </c>
      <c r="C15" s="33">
        <v>0.65</v>
      </c>
      <c r="D15" s="33">
        <v>19.23</v>
      </c>
      <c r="E15" s="33">
        <v>52.94</v>
      </c>
      <c r="F15" s="33">
        <v>9.15</v>
      </c>
      <c r="G15" s="33">
        <v>0.87</v>
      </c>
      <c r="H15" s="33">
        <v>21.18</v>
      </c>
      <c r="I15" s="33">
        <v>14.28</v>
      </c>
      <c r="J15" s="34">
        <v>29.13</v>
      </c>
      <c r="K15" s="34">
        <v>23.16</v>
      </c>
      <c r="L15" s="34">
        <v>33.840000000000003</v>
      </c>
      <c r="M15" s="34">
        <v>37.74</v>
      </c>
      <c r="N15" s="34">
        <v>27.08</v>
      </c>
      <c r="O15" s="34">
        <v>23.37</v>
      </c>
      <c r="P15" s="34">
        <v>19.23</v>
      </c>
      <c r="Q15" s="49">
        <f t="shared" si="0"/>
        <v>26</v>
      </c>
      <c r="R15" s="36"/>
    </row>
    <row r="16" spans="1:18" ht="18" customHeight="1" x14ac:dyDescent="0.2">
      <c r="A16" s="32">
        <v>2029</v>
      </c>
      <c r="B16" s="32" t="s">
        <v>382</v>
      </c>
      <c r="C16" s="33">
        <v>0.65</v>
      </c>
      <c r="D16" s="33">
        <v>19.149999999999999</v>
      </c>
      <c r="E16" s="33">
        <v>52.78</v>
      </c>
      <c r="F16" s="33">
        <v>9.25</v>
      </c>
      <c r="G16" s="33">
        <v>0.87</v>
      </c>
      <c r="H16" s="33">
        <v>21.06</v>
      </c>
      <c r="I16" s="33">
        <v>14.02</v>
      </c>
      <c r="J16" s="34">
        <v>29.31</v>
      </c>
      <c r="K16" s="34">
        <v>23.35</v>
      </c>
      <c r="L16" s="34">
        <v>34.270000000000003</v>
      </c>
      <c r="M16" s="34">
        <v>38.159999999999997</v>
      </c>
      <c r="N16" s="34">
        <v>27.55</v>
      </c>
      <c r="O16" s="34">
        <v>23.88</v>
      </c>
      <c r="P16" s="34">
        <v>19.43</v>
      </c>
      <c r="Q16" s="50">
        <f t="shared" si="0"/>
        <v>26.2</v>
      </c>
      <c r="R16" s="36"/>
    </row>
    <row r="17" spans="1:18" ht="45" customHeight="1" x14ac:dyDescent="0.2">
      <c r="A17" s="32">
        <v>2030</v>
      </c>
      <c r="B17" s="32" t="s">
        <v>383</v>
      </c>
      <c r="C17" s="33">
        <v>0.65</v>
      </c>
      <c r="D17" s="33">
        <v>19.059999999999999</v>
      </c>
      <c r="E17" s="33">
        <v>52.61</v>
      </c>
      <c r="F17" s="33">
        <v>9.35</v>
      </c>
      <c r="G17" s="33">
        <v>0.86</v>
      </c>
      <c r="H17" s="33">
        <v>20.93</v>
      </c>
      <c r="I17" s="33">
        <v>13.76</v>
      </c>
      <c r="J17" s="34">
        <v>29.5</v>
      </c>
      <c r="K17" s="34">
        <v>23.55</v>
      </c>
      <c r="L17" s="34">
        <v>34.72</v>
      </c>
      <c r="M17" s="34">
        <v>38.6</v>
      </c>
      <c r="N17" s="34">
        <v>28.04</v>
      </c>
      <c r="O17" s="34">
        <v>24.42</v>
      </c>
      <c r="P17" s="34">
        <v>19.64</v>
      </c>
      <c r="Q17" s="51">
        <f t="shared" si="0"/>
        <v>26.5</v>
      </c>
      <c r="R17" s="36" t="s">
        <v>387</v>
      </c>
    </row>
    <row r="18" spans="1:18" ht="18" customHeight="1" x14ac:dyDescent="0.2">
      <c r="A18" s="32">
        <v>2030</v>
      </c>
      <c r="B18" s="32" t="s">
        <v>380</v>
      </c>
      <c r="C18" s="33">
        <v>0.64</v>
      </c>
      <c r="D18" s="33">
        <v>18.96</v>
      </c>
      <c r="E18" s="33">
        <v>52.43</v>
      </c>
      <c r="F18" s="33">
        <v>9.4600000000000009</v>
      </c>
      <c r="G18" s="33">
        <v>0.86</v>
      </c>
      <c r="H18" s="33">
        <v>20.79</v>
      </c>
      <c r="I18" s="33">
        <v>13.5</v>
      </c>
      <c r="J18" s="34">
        <v>29.71</v>
      </c>
      <c r="K18" s="34">
        <v>23.76</v>
      </c>
      <c r="L18" s="34">
        <v>35.200000000000003</v>
      </c>
      <c r="M18" s="34">
        <v>39.06</v>
      </c>
      <c r="N18" s="34">
        <v>28.56</v>
      </c>
      <c r="O18" s="34">
        <v>24.99</v>
      </c>
      <c r="P18" s="34">
        <v>19.87</v>
      </c>
      <c r="Q18" s="52">
        <f t="shared" si="0"/>
        <v>26.8</v>
      </c>
      <c r="R18" s="36"/>
    </row>
    <row r="19" spans="1:18" ht="18" customHeight="1" x14ac:dyDescent="0.2">
      <c r="A19" s="32">
        <v>2030</v>
      </c>
      <c r="B19" s="32" t="s">
        <v>381</v>
      </c>
      <c r="C19" s="33">
        <v>0.64</v>
      </c>
      <c r="D19" s="33">
        <v>18.86</v>
      </c>
      <c r="E19" s="33">
        <v>52.24</v>
      </c>
      <c r="F19" s="33">
        <v>9.58</v>
      </c>
      <c r="G19" s="33">
        <v>0.85</v>
      </c>
      <c r="H19" s="33">
        <v>20.64</v>
      </c>
      <c r="I19" s="33">
        <v>13.25</v>
      </c>
      <c r="J19" s="34">
        <v>29.93</v>
      </c>
      <c r="K19" s="34">
        <v>23.99</v>
      </c>
      <c r="L19" s="34">
        <v>35.71</v>
      </c>
      <c r="M19" s="34">
        <v>39.549999999999997</v>
      </c>
      <c r="N19" s="34">
        <v>29.11</v>
      </c>
      <c r="O19" s="34">
        <v>25.59</v>
      </c>
      <c r="P19" s="34">
        <v>20.11</v>
      </c>
      <c r="Q19" s="53">
        <f t="shared" si="0"/>
        <v>27.2</v>
      </c>
      <c r="R19" s="36"/>
    </row>
    <row r="20" spans="1:18" ht="18" customHeight="1" x14ac:dyDescent="0.2">
      <c r="A20" s="32">
        <v>2030</v>
      </c>
      <c r="B20" s="32" t="s">
        <v>382</v>
      </c>
      <c r="C20" s="33">
        <v>0.64</v>
      </c>
      <c r="D20" s="33">
        <v>18.75</v>
      </c>
      <c r="E20" s="33">
        <v>52.05</v>
      </c>
      <c r="F20" s="33">
        <v>9.6999999999999993</v>
      </c>
      <c r="G20" s="33">
        <v>0.85</v>
      </c>
      <c r="H20" s="33">
        <v>20.49</v>
      </c>
      <c r="I20" s="33">
        <v>13</v>
      </c>
      <c r="J20" s="34">
        <v>30.16</v>
      </c>
      <c r="K20" s="34">
        <v>24.23</v>
      </c>
      <c r="L20" s="34">
        <v>36.24</v>
      </c>
      <c r="M20" s="34">
        <v>40.06</v>
      </c>
      <c r="N20" s="34">
        <v>29.68</v>
      </c>
      <c r="O20" s="34">
        <v>26.22</v>
      </c>
      <c r="P20" s="34">
        <v>20.36</v>
      </c>
      <c r="Q20" s="54">
        <f t="shared" si="0"/>
        <v>27.5</v>
      </c>
      <c r="R20" s="36"/>
    </row>
    <row r="21" spans="1:18" ht="45" customHeight="1" x14ac:dyDescent="0.2">
      <c r="A21" s="32">
        <v>2031</v>
      </c>
      <c r="B21" s="32" t="s">
        <v>383</v>
      </c>
      <c r="C21" s="33">
        <v>0.63</v>
      </c>
      <c r="D21" s="33">
        <v>18.64</v>
      </c>
      <c r="E21" s="33">
        <v>51.84</v>
      </c>
      <c r="F21" s="33">
        <v>9.83</v>
      </c>
      <c r="G21" s="33">
        <v>0.85</v>
      </c>
      <c r="H21" s="33">
        <v>20.329999999999998</v>
      </c>
      <c r="I21" s="33">
        <v>12.75</v>
      </c>
      <c r="J21" s="34">
        <v>30.41</v>
      </c>
      <c r="K21" s="34">
        <v>24.48</v>
      </c>
      <c r="L21" s="34">
        <v>36.79</v>
      </c>
      <c r="M21" s="34">
        <v>40.6</v>
      </c>
      <c r="N21" s="34">
        <v>30.28</v>
      </c>
      <c r="O21" s="34">
        <v>26.87</v>
      </c>
      <c r="P21" s="34">
        <v>20.63</v>
      </c>
      <c r="Q21" s="55">
        <f t="shared" si="0"/>
        <v>27.9</v>
      </c>
      <c r="R21" s="36" t="s">
        <v>388</v>
      </c>
    </row>
    <row r="22" spans="1:18" ht="18" customHeight="1" x14ac:dyDescent="0.2">
      <c r="A22" s="32">
        <v>2031</v>
      </c>
      <c r="B22" s="32" t="s">
        <v>380</v>
      </c>
      <c r="C22" s="33">
        <v>0.63</v>
      </c>
      <c r="D22" s="33">
        <v>18.53</v>
      </c>
      <c r="E22" s="33">
        <v>51.63</v>
      </c>
      <c r="F22" s="33">
        <v>9.9600000000000009</v>
      </c>
      <c r="G22" s="33">
        <v>0.84</v>
      </c>
      <c r="H22" s="33">
        <v>20.16</v>
      </c>
      <c r="I22" s="33">
        <v>12.5</v>
      </c>
      <c r="J22" s="34">
        <v>30.67</v>
      </c>
      <c r="K22" s="34">
        <v>24.75</v>
      </c>
      <c r="L22" s="34">
        <v>37.369999999999997</v>
      </c>
      <c r="M22" s="34">
        <v>41.15</v>
      </c>
      <c r="N22" s="34">
        <v>30.91</v>
      </c>
      <c r="O22" s="34">
        <v>27.56</v>
      </c>
      <c r="P22" s="34">
        <v>20.92</v>
      </c>
      <c r="Q22" s="56">
        <f t="shared" si="0"/>
        <v>28.2</v>
      </c>
      <c r="R22" s="36"/>
    </row>
    <row r="23" spans="1:18" ht="18" customHeight="1" x14ac:dyDescent="0.2">
      <c r="A23" s="32">
        <v>2031</v>
      </c>
      <c r="B23" s="32" t="s">
        <v>381</v>
      </c>
      <c r="C23" s="33">
        <v>0.62</v>
      </c>
      <c r="D23" s="33">
        <v>18.41</v>
      </c>
      <c r="E23" s="33">
        <v>51.4</v>
      </c>
      <c r="F23" s="33">
        <v>10.09</v>
      </c>
      <c r="G23" s="33">
        <v>0.84</v>
      </c>
      <c r="H23" s="33">
        <v>19.989999999999998</v>
      </c>
      <c r="I23" s="33">
        <v>12.26</v>
      </c>
      <c r="J23" s="34">
        <v>30.94</v>
      </c>
      <c r="K23" s="34">
        <v>25.03</v>
      </c>
      <c r="L23" s="34">
        <v>37.97</v>
      </c>
      <c r="M23" s="34">
        <v>41.73</v>
      </c>
      <c r="N23" s="34">
        <v>31.56</v>
      </c>
      <c r="O23" s="34">
        <v>28.27</v>
      </c>
      <c r="P23" s="34">
        <v>21.21</v>
      </c>
      <c r="Q23" s="57">
        <f t="shared" si="0"/>
        <v>28.6</v>
      </c>
      <c r="R23" s="36"/>
    </row>
    <row r="24" spans="1:18" ht="18" customHeight="1" x14ac:dyDescent="0.2">
      <c r="A24" s="32">
        <v>2031</v>
      </c>
      <c r="B24" s="32" t="s">
        <v>382</v>
      </c>
      <c r="C24" s="33">
        <v>0.62</v>
      </c>
      <c r="D24" s="33">
        <v>18.28</v>
      </c>
      <c r="E24" s="33">
        <v>51.17</v>
      </c>
      <c r="F24" s="33">
        <v>10.24</v>
      </c>
      <c r="G24" s="33">
        <v>0.83</v>
      </c>
      <c r="H24" s="33">
        <v>19.809999999999999</v>
      </c>
      <c r="I24" s="33">
        <v>12.02</v>
      </c>
      <c r="J24" s="34">
        <v>31.23</v>
      </c>
      <c r="K24" s="34">
        <v>25.33</v>
      </c>
      <c r="L24" s="34">
        <v>38.590000000000003</v>
      </c>
      <c r="M24" s="34">
        <v>42.33</v>
      </c>
      <c r="N24" s="34">
        <v>32.229999999999997</v>
      </c>
      <c r="O24" s="34">
        <v>29</v>
      </c>
      <c r="P24" s="34">
        <v>21.53</v>
      </c>
      <c r="Q24" s="58">
        <f t="shared" si="0"/>
        <v>29</v>
      </c>
      <c r="R24" s="36"/>
    </row>
    <row r="25" spans="1:18" ht="45" customHeight="1" x14ac:dyDescent="0.2">
      <c r="A25" s="32">
        <v>2032</v>
      </c>
      <c r="B25" s="32" t="s">
        <v>383</v>
      </c>
      <c r="C25" s="33">
        <v>0.62</v>
      </c>
      <c r="D25" s="33">
        <v>18.16</v>
      </c>
      <c r="E25" s="33">
        <v>50.93</v>
      </c>
      <c r="F25" s="33">
        <v>10.38</v>
      </c>
      <c r="G25" s="33">
        <v>0.83</v>
      </c>
      <c r="H25" s="33">
        <v>19.63</v>
      </c>
      <c r="I25" s="33">
        <v>11.79</v>
      </c>
      <c r="J25" s="34">
        <v>31.53</v>
      </c>
      <c r="K25" s="34">
        <v>25.64</v>
      </c>
      <c r="L25" s="34">
        <v>39.22</v>
      </c>
      <c r="M25" s="34">
        <v>42.95</v>
      </c>
      <c r="N25" s="34">
        <v>32.92</v>
      </c>
      <c r="O25" s="34">
        <v>29.76</v>
      </c>
      <c r="P25" s="34">
        <v>21.86</v>
      </c>
      <c r="Q25" s="59">
        <f t="shared" si="0"/>
        <v>29.5</v>
      </c>
      <c r="R25" s="36" t="s">
        <v>389</v>
      </c>
    </row>
    <row r="26" spans="1:18" ht="18" customHeight="1" x14ac:dyDescent="0.2">
      <c r="A26" s="32">
        <v>2032</v>
      </c>
      <c r="B26" s="32" t="s">
        <v>380</v>
      </c>
      <c r="C26" s="33">
        <v>0.61</v>
      </c>
      <c r="D26" s="33">
        <v>18.02</v>
      </c>
      <c r="E26" s="33">
        <v>50.69</v>
      </c>
      <c r="F26" s="33">
        <v>10.53</v>
      </c>
      <c r="G26" s="33">
        <v>0.82</v>
      </c>
      <c r="H26" s="33">
        <v>19.440000000000001</v>
      </c>
      <c r="I26" s="33">
        <v>11.55</v>
      </c>
      <c r="J26" s="34">
        <v>31.84</v>
      </c>
      <c r="K26" s="34">
        <v>25.96</v>
      </c>
      <c r="L26" s="34">
        <v>39.880000000000003</v>
      </c>
      <c r="M26" s="34">
        <v>43.58</v>
      </c>
      <c r="N26" s="34">
        <v>33.64</v>
      </c>
      <c r="O26" s="34">
        <v>30.54</v>
      </c>
      <c r="P26" s="34">
        <v>22.2</v>
      </c>
      <c r="Q26" s="60">
        <f t="shared" si="0"/>
        <v>29.9</v>
      </c>
      <c r="R26" s="36"/>
    </row>
    <row r="27" spans="1:18" ht="18" customHeight="1" x14ac:dyDescent="0.2">
      <c r="A27" s="32">
        <v>2032</v>
      </c>
      <c r="B27" s="32" t="s">
        <v>381</v>
      </c>
      <c r="C27" s="33">
        <v>0.61</v>
      </c>
      <c r="D27" s="33">
        <v>17.89</v>
      </c>
      <c r="E27" s="33">
        <v>50.44</v>
      </c>
      <c r="F27" s="33">
        <v>10.69</v>
      </c>
      <c r="G27" s="33">
        <v>0.82</v>
      </c>
      <c r="H27" s="33">
        <v>19.25</v>
      </c>
      <c r="I27" s="33">
        <v>11.32</v>
      </c>
      <c r="J27" s="34">
        <v>32.159999999999997</v>
      </c>
      <c r="K27" s="34">
        <v>26.3</v>
      </c>
      <c r="L27" s="34">
        <v>40.56</v>
      </c>
      <c r="M27" s="34">
        <v>44.24</v>
      </c>
      <c r="N27" s="34">
        <v>34.369999999999997</v>
      </c>
      <c r="O27" s="34">
        <v>31.34</v>
      </c>
      <c r="P27" s="34">
        <v>22.56</v>
      </c>
      <c r="Q27" s="61">
        <f t="shared" si="0"/>
        <v>30.4</v>
      </c>
      <c r="R27" s="36"/>
    </row>
    <row r="28" spans="1:18" ht="18" customHeight="1" x14ac:dyDescent="0.2">
      <c r="A28" s="32">
        <v>2032</v>
      </c>
      <c r="B28" s="32" t="s">
        <v>382</v>
      </c>
      <c r="C28" s="33">
        <v>0.6</v>
      </c>
      <c r="D28" s="33">
        <v>17.75</v>
      </c>
      <c r="E28" s="33">
        <v>50.18</v>
      </c>
      <c r="F28" s="33">
        <v>10.85</v>
      </c>
      <c r="G28" s="33">
        <v>0.81</v>
      </c>
      <c r="H28" s="33">
        <v>19.05</v>
      </c>
      <c r="I28" s="33">
        <v>11.1</v>
      </c>
      <c r="J28" s="34">
        <v>32.5</v>
      </c>
      <c r="K28" s="34">
        <v>26.65</v>
      </c>
      <c r="L28" s="34">
        <v>41.26</v>
      </c>
      <c r="M28" s="34">
        <v>44.91</v>
      </c>
      <c r="N28" s="34">
        <v>35.119999999999997</v>
      </c>
      <c r="O28" s="34">
        <v>32.17</v>
      </c>
      <c r="P28" s="34">
        <v>22.93</v>
      </c>
      <c r="Q28" s="62">
        <f t="shared" si="0"/>
        <v>30.8</v>
      </c>
      <c r="R28" s="36"/>
    </row>
    <row r="29" spans="1:18" ht="45" customHeight="1" x14ac:dyDescent="0.2">
      <c r="A29" s="32">
        <v>2033</v>
      </c>
      <c r="B29" s="32" t="s">
        <v>383</v>
      </c>
      <c r="C29" s="33">
        <v>0.6</v>
      </c>
      <c r="D29" s="33">
        <v>17.61</v>
      </c>
      <c r="E29" s="33">
        <v>49.91</v>
      </c>
      <c r="F29" s="33">
        <v>11.01</v>
      </c>
      <c r="G29" s="33">
        <v>0.81</v>
      </c>
      <c r="H29" s="33">
        <v>18.84</v>
      </c>
      <c r="I29" s="33">
        <v>10.87</v>
      </c>
      <c r="J29" s="34">
        <v>32.86</v>
      </c>
      <c r="K29" s="34">
        <v>27.01</v>
      </c>
      <c r="L29" s="34">
        <v>41.97</v>
      </c>
      <c r="M29" s="34">
        <v>45.6</v>
      </c>
      <c r="N29" s="34">
        <v>35.9</v>
      </c>
      <c r="O29" s="34">
        <v>33.01</v>
      </c>
      <c r="P29" s="34">
        <v>23.31</v>
      </c>
      <c r="Q29" s="63">
        <f t="shared" si="0"/>
        <v>31.3</v>
      </c>
      <c r="R29" s="36" t="s">
        <v>390</v>
      </c>
    </row>
    <row r="30" spans="1:18" ht="18" customHeight="1" x14ac:dyDescent="0.2">
      <c r="A30" s="32">
        <v>2033</v>
      </c>
      <c r="B30" s="32" t="s">
        <v>380</v>
      </c>
      <c r="C30" s="33">
        <v>0.59</v>
      </c>
      <c r="D30" s="33">
        <v>17.46</v>
      </c>
      <c r="E30" s="33">
        <v>49.64</v>
      </c>
      <c r="F30" s="33">
        <v>11.18</v>
      </c>
      <c r="G30" s="33">
        <v>0.8</v>
      </c>
      <c r="H30" s="33">
        <v>18.63</v>
      </c>
      <c r="I30" s="33">
        <v>10.65</v>
      </c>
      <c r="J30" s="34">
        <v>33.22</v>
      </c>
      <c r="K30" s="34">
        <v>27.39</v>
      </c>
      <c r="L30" s="34">
        <v>42.7</v>
      </c>
      <c r="M30" s="34">
        <v>46.3</v>
      </c>
      <c r="N30" s="34">
        <v>36.69</v>
      </c>
      <c r="O30" s="34">
        <v>33.880000000000003</v>
      </c>
      <c r="P30" s="34">
        <v>23.71</v>
      </c>
      <c r="Q30" s="64">
        <f t="shared" si="0"/>
        <v>31.8</v>
      </c>
      <c r="R30" s="36"/>
    </row>
    <row r="31" spans="1:18" ht="18" customHeight="1" x14ac:dyDescent="0.2">
      <c r="A31" s="32">
        <v>2033</v>
      </c>
      <c r="B31" s="32" t="s">
        <v>381</v>
      </c>
      <c r="C31" s="33">
        <v>0.59</v>
      </c>
      <c r="D31" s="33">
        <v>17.309999999999999</v>
      </c>
      <c r="E31" s="33">
        <v>49.36</v>
      </c>
      <c r="F31" s="33">
        <v>11.35</v>
      </c>
      <c r="G31" s="33">
        <v>0.8</v>
      </c>
      <c r="H31" s="33">
        <v>18.420000000000002</v>
      </c>
      <c r="I31" s="33">
        <v>10.44</v>
      </c>
      <c r="J31" s="34">
        <v>33.6</v>
      </c>
      <c r="K31" s="34">
        <v>27.78</v>
      </c>
      <c r="L31" s="34">
        <v>43.44</v>
      </c>
      <c r="M31" s="34">
        <v>47.02</v>
      </c>
      <c r="N31" s="34">
        <v>37.5</v>
      </c>
      <c r="O31" s="34">
        <v>34.76</v>
      </c>
      <c r="P31" s="34">
        <v>24.13</v>
      </c>
      <c r="Q31" s="65">
        <f t="shared" si="0"/>
        <v>32.299999999999997</v>
      </c>
      <c r="R31" s="36"/>
    </row>
    <row r="32" spans="1:18" ht="18" customHeight="1" x14ac:dyDescent="0.2">
      <c r="A32" s="32">
        <v>2033</v>
      </c>
      <c r="B32" s="32" t="s">
        <v>382</v>
      </c>
      <c r="C32" s="33">
        <v>0.57999999999999996</v>
      </c>
      <c r="D32" s="33">
        <v>17.16</v>
      </c>
      <c r="E32" s="33">
        <v>49.08</v>
      </c>
      <c r="F32" s="66">
        <v>11.52</v>
      </c>
      <c r="G32" s="33">
        <v>0.79</v>
      </c>
      <c r="H32" s="33">
        <v>18.2</v>
      </c>
      <c r="I32" s="33">
        <v>10.220000000000001</v>
      </c>
      <c r="J32" s="67">
        <v>34</v>
      </c>
      <c r="K32" s="67">
        <v>28.18</v>
      </c>
      <c r="L32" s="67">
        <v>44.2</v>
      </c>
      <c r="M32" s="67">
        <v>47.75</v>
      </c>
      <c r="N32" s="67">
        <v>38.32</v>
      </c>
      <c r="O32" s="67">
        <v>35.659999999999997</v>
      </c>
      <c r="P32" s="67">
        <v>24.56</v>
      </c>
      <c r="Q32" s="68">
        <f t="shared" si="0"/>
        <v>32.9</v>
      </c>
      <c r="R32" s="36"/>
    </row>
    <row r="33" spans="1:18" ht="45" customHeight="1" x14ac:dyDescent="0.2">
      <c r="A33" s="32">
        <v>2034</v>
      </c>
      <c r="B33" s="32" t="s">
        <v>383</v>
      </c>
      <c r="C33" s="33">
        <v>0.57999999999999996</v>
      </c>
      <c r="D33" s="33">
        <v>17</v>
      </c>
      <c r="E33" s="33">
        <v>48.79</v>
      </c>
      <c r="F33" s="66">
        <v>11.7</v>
      </c>
      <c r="G33" s="33">
        <v>0.79</v>
      </c>
      <c r="H33" s="33">
        <v>17.97</v>
      </c>
      <c r="I33" s="33">
        <v>10.01</v>
      </c>
      <c r="J33" s="67">
        <v>34.4</v>
      </c>
      <c r="K33" s="67">
        <v>28.6</v>
      </c>
      <c r="L33" s="67">
        <v>44.98</v>
      </c>
      <c r="M33" s="67">
        <v>48.5</v>
      </c>
      <c r="N33" s="67">
        <v>39.159999999999997</v>
      </c>
      <c r="O33" s="67">
        <v>36.58</v>
      </c>
      <c r="P33" s="67">
        <v>25</v>
      </c>
      <c r="Q33" s="69">
        <f t="shared" si="0"/>
        <v>33.4</v>
      </c>
      <c r="R33" s="36" t="s">
        <v>391</v>
      </c>
    </row>
    <row r="34" spans="1:18" ht="18" customHeight="1" x14ac:dyDescent="0.2">
      <c r="A34" s="32">
        <v>2034</v>
      </c>
      <c r="B34" s="32" t="s">
        <v>380</v>
      </c>
      <c r="C34" s="33">
        <v>0.56999999999999995</v>
      </c>
      <c r="D34" s="33">
        <v>16.850000000000001</v>
      </c>
      <c r="E34" s="33">
        <v>48.49</v>
      </c>
      <c r="F34" s="66">
        <v>11.88</v>
      </c>
      <c r="G34" s="33">
        <v>0.78</v>
      </c>
      <c r="H34" s="33">
        <v>17.75</v>
      </c>
      <c r="I34" s="33">
        <v>9.8000000000000007</v>
      </c>
      <c r="J34" s="67">
        <v>34.82</v>
      </c>
      <c r="K34" s="67">
        <v>29.04</v>
      </c>
      <c r="L34" s="67">
        <v>45.76</v>
      </c>
      <c r="M34" s="67">
        <v>49.26</v>
      </c>
      <c r="N34" s="67">
        <v>40.020000000000003</v>
      </c>
      <c r="O34" s="67">
        <v>37.520000000000003</v>
      </c>
      <c r="P34" s="67">
        <v>25.46</v>
      </c>
      <c r="Q34" s="70">
        <f t="shared" ref="Q34:Q65" si="1">ROUND(AVERAGE(I34:P34),1)</f>
        <v>34</v>
      </c>
      <c r="R34" s="36"/>
    </row>
    <row r="35" spans="1:18" ht="18" customHeight="1" x14ac:dyDescent="0.2">
      <c r="A35" s="32">
        <v>2034</v>
      </c>
      <c r="B35" s="32" t="s">
        <v>381</v>
      </c>
      <c r="C35" s="33">
        <v>0.56999999999999995</v>
      </c>
      <c r="D35" s="33">
        <v>16.690000000000001</v>
      </c>
      <c r="E35" s="33">
        <v>48.2</v>
      </c>
      <c r="F35" s="66">
        <v>12.06</v>
      </c>
      <c r="G35" s="33">
        <v>0.77</v>
      </c>
      <c r="H35" s="33">
        <v>17.52</v>
      </c>
      <c r="I35" s="33">
        <v>9.6</v>
      </c>
      <c r="J35" s="67">
        <v>35.26</v>
      </c>
      <c r="K35" s="67">
        <v>29.48</v>
      </c>
      <c r="L35" s="67">
        <v>46.56</v>
      </c>
      <c r="M35" s="67">
        <v>50.04</v>
      </c>
      <c r="N35" s="67">
        <v>40.880000000000003</v>
      </c>
      <c r="O35" s="67">
        <v>38.47</v>
      </c>
      <c r="P35" s="67">
        <v>25.94</v>
      </c>
      <c r="Q35" s="71">
        <f t="shared" si="1"/>
        <v>34.5</v>
      </c>
      <c r="R35" s="36"/>
    </row>
    <row r="36" spans="1:18" ht="18" customHeight="1" x14ac:dyDescent="0.2">
      <c r="A36" s="32">
        <v>2034</v>
      </c>
      <c r="B36" s="32" t="s">
        <v>382</v>
      </c>
      <c r="C36" s="33">
        <v>0.56000000000000005</v>
      </c>
      <c r="D36" s="33">
        <v>16.52</v>
      </c>
      <c r="E36" s="33">
        <v>47.89</v>
      </c>
      <c r="F36" s="66">
        <v>12.25</v>
      </c>
      <c r="G36" s="33">
        <v>0.77</v>
      </c>
      <c r="H36" s="33">
        <v>17.28</v>
      </c>
      <c r="I36" s="33">
        <v>9.4</v>
      </c>
      <c r="J36" s="67">
        <v>35.700000000000003</v>
      </c>
      <c r="K36" s="67">
        <v>29.94</v>
      </c>
      <c r="L36" s="67">
        <v>47.38</v>
      </c>
      <c r="M36" s="67">
        <v>50.82</v>
      </c>
      <c r="N36" s="67">
        <v>41.77</v>
      </c>
      <c r="O36" s="67">
        <v>39.43</v>
      </c>
      <c r="P36" s="67">
        <v>26.43</v>
      </c>
      <c r="Q36" s="72">
        <f t="shared" si="1"/>
        <v>35.1</v>
      </c>
      <c r="R36" s="36"/>
    </row>
    <row r="37" spans="1:18" ht="45" customHeight="1" x14ac:dyDescent="0.2">
      <c r="A37" s="32">
        <v>2035</v>
      </c>
      <c r="B37" s="32" t="s">
        <v>383</v>
      </c>
      <c r="C37" s="33">
        <v>0.56000000000000005</v>
      </c>
      <c r="D37" s="33">
        <v>16.36</v>
      </c>
      <c r="E37" s="33">
        <v>47.59</v>
      </c>
      <c r="F37" s="66">
        <v>12.44</v>
      </c>
      <c r="G37" s="33">
        <v>0.76</v>
      </c>
      <c r="H37" s="33">
        <v>17.04</v>
      </c>
      <c r="I37" s="33">
        <v>9.1999999999999993</v>
      </c>
      <c r="J37" s="67">
        <v>36.159999999999997</v>
      </c>
      <c r="K37" s="67">
        <v>30.42</v>
      </c>
      <c r="L37" s="67">
        <v>48.2</v>
      </c>
      <c r="M37" s="67">
        <v>51.62</v>
      </c>
      <c r="N37" s="67">
        <v>42.66</v>
      </c>
      <c r="O37" s="67">
        <v>40.409999999999997</v>
      </c>
      <c r="P37" s="67">
        <v>26.93</v>
      </c>
      <c r="Q37" s="73">
        <f t="shared" si="1"/>
        <v>35.700000000000003</v>
      </c>
      <c r="R37" s="36" t="s">
        <v>392</v>
      </c>
    </row>
    <row r="38" spans="1:18" ht="18" customHeight="1" x14ac:dyDescent="0.2">
      <c r="A38" s="32">
        <v>2035</v>
      </c>
      <c r="B38" s="32" t="s">
        <v>380</v>
      </c>
      <c r="C38" s="33">
        <v>0.55000000000000004</v>
      </c>
      <c r="D38" s="33">
        <v>16.190000000000001</v>
      </c>
      <c r="E38" s="33">
        <v>47.27</v>
      </c>
      <c r="F38" s="66">
        <v>12.63</v>
      </c>
      <c r="G38" s="33">
        <v>0.76</v>
      </c>
      <c r="H38" s="33">
        <v>16.8</v>
      </c>
      <c r="I38" s="33">
        <v>9</v>
      </c>
      <c r="J38" s="67">
        <v>36.64</v>
      </c>
      <c r="K38" s="67">
        <v>30.91</v>
      </c>
      <c r="L38" s="67">
        <v>49.04</v>
      </c>
      <c r="M38" s="67">
        <v>52.42</v>
      </c>
      <c r="N38" s="67">
        <v>43.56</v>
      </c>
      <c r="O38" s="67">
        <v>41.4</v>
      </c>
      <c r="P38" s="67">
        <v>27.45</v>
      </c>
      <c r="Q38" s="74">
        <f t="shared" si="1"/>
        <v>36.299999999999997</v>
      </c>
      <c r="R38" s="36"/>
    </row>
    <row r="39" spans="1:18" ht="18" customHeight="1" x14ac:dyDescent="0.2">
      <c r="A39" s="32">
        <v>2035</v>
      </c>
      <c r="B39" s="32" t="s">
        <v>381</v>
      </c>
      <c r="C39" s="33">
        <v>0.55000000000000004</v>
      </c>
      <c r="D39" s="33">
        <v>16.02</v>
      </c>
      <c r="E39" s="33">
        <v>46.96</v>
      </c>
      <c r="F39" s="66">
        <v>12.82</v>
      </c>
      <c r="G39" s="33">
        <v>0.75</v>
      </c>
      <c r="H39" s="33">
        <v>16.559999999999999</v>
      </c>
      <c r="I39" s="33">
        <v>8.81</v>
      </c>
      <c r="J39" s="67">
        <v>37.119999999999997</v>
      </c>
      <c r="K39" s="67">
        <v>31.41</v>
      </c>
      <c r="L39" s="67">
        <v>49.88</v>
      </c>
      <c r="M39" s="67">
        <v>53.24</v>
      </c>
      <c r="N39" s="67">
        <v>44.48</v>
      </c>
      <c r="O39" s="67">
        <v>42.4</v>
      </c>
      <c r="P39" s="67">
        <v>27.98</v>
      </c>
      <c r="Q39" s="75">
        <f t="shared" si="1"/>
        <v>36.9</v>
      </c>
      <c r="R39" s="36"/>
    </row>
    <row r="40" spans="1:18" ht="18" customHeight="1" x14ac:dyDescent="0.2">
      <c r="A40" s="32">
        <v>2035</v>
      </c>
      <c r="B40" s="32" t="s">
        <v>382</v>
      </c>
      <c r="C40" s="33">
        <v>0.54</v>
      </c>
      <c r="D40" s="33">
        <v>15.85</v>
      </c>
      <c r="E40" s="33">
        <v>46.64</v>
      </c>
      <c r="F40" s="66">
        <v>13.02</v>
      </c>
      <c r="G40" s="33">
        <v>0.74</v>
      </c>
      <c r="H40" s="33">
        <v>16.309999999999999</v>
      </c>
      <c r="I40" s="33">
        <v>8.6199999999999992</v>
      </c>
      <c r="J40" s="67">
        <v>37.619999999999997</v>
      </c>
      <c r="K40" s="67">
        <v>31.92</v>
      </c>
      <c r="L40" s="67">
        <v>50.73</v>
      </c>
      <c r="M40" s="67">
        <v>54.06</v>
      </c>
      <c r="N40" s="67">
        <v>45.41</v>
      </c>
      <c r="O40" s="67">
        <v>43.41</v>
      </c>
      <c r="P40" s="67">
        <v>28.52</v>
      </c>
      <c r="Q40" s="76">
        <f t="shared" si="1"/>
        <v>37.5</v>
      </c>
      <c r="R40" s="36"/>
    </row>
    <row r="41" spans="1:18" ht="45" customHeight="1" x14ac:dyDescent="0.2">
      <c r="A41" s="32">
        <v>2036</v>
      </c>
      <c r="B41" s="32" t="s">
        <v>383</v>
      </c>
      <c r="C41" s="33">
        <v>0.53</v>
      </c>
      <c r="D41" s="33">
        <v>15.68</v>
      </c>
      <c r="E41" s="33">
        <v>46.32</v>
      </c>
      <c r="F41" s="66">
        <v>13.21</v>
      </c>
      <c r="G41" s="33">
        <v>0.74</v>
      </c>
      <c r="H41" s="33">
        <v>16.07</v>
      </c>
      <c r="I41" s="33">
        <v>8.44</v>
      </c>
      <c r="J41" s="67">
        <v>38.14</v>
      </c>
      <c r="K41" s="67">
        <v>32.450000000000003</v>
      </c>
      <c r="L41" s="67">
        <v>51.59</v>
      </c>
      <c r="M41" s="67">
        <v>54.9</v>
      </c>
      <c r="N41" s="67">
        <v>46.34</v>
      </c>
      <c r="O41" s="67">
        <v>44.43</v>
      </c>
      <c r="P41" s="67">
        <v>29.09</v>
      </c>
      <c r="Q41" s="77">
        <f t="shared" si="1"/>
        <v>38.200000000000003</v>
      </c>
      <c r="R41" s="36" t="s">
        <v>393</v>
      </c>
    </row>
    <row r="42" spans="1:18" ht="18" customHeight="1" x14ac:dyDescent="0.2">
      <c r="A42" s="32">
        <v>2036</v>
      </c>
      <c r="B42" s="32" t="s">
        <v>380</v>
      </c>
      <c r="C42" s="33">
        <v>0.53</v>
      </c>
      <c r="D42" s="33">
        <v>15.51</v>
      </c>
      <c r="E42" s="33">
        <v>46</v>
      </c>
      <c r="F42" s="66">
        <v>13.41</v>
      </c>
      <c r="G42" s="33">
        <v>0.73</v>
      </c>
      <c r="H42" s="33">
        <v>15.82</v>
      </c>
      <c r="I42" s="33">
        <v>8.25</v>
      </c>
      <c r="J42" s="67">
        <v>38.659999999999997</v>
      </c>
      <c r="K42" s="67">
        <v>33</v>
      </c>
      <c r="L42" s="67">
        <v>52.46</v>
      </c>
      <c r="M42" s="67">
        <v>55.74</v>
      </c>
      <c r="N42" s="67">
        <v>47.28</v>
      </c>
      <c r="O42" s="67">
        <v>45.47</v>
      </c>
      <c r="P42" s="67">
        <v>29.66</v>
      </c>
      <c r="Q42" s="78">
        <f t="shared" si="1"/>
        <v>38.799999999999997</v>
      </c>
      <c r="R42" s="36"/>
    </row>
    <row r="43" spans="1:18" ht="18" customHeight="1" x14ac:dyDescent="0.2">
      <c r="A43" s="32">
        <v>2036</v>
      </c>
      <c r="B43" s="32" t="s">
        <v>381</v>
      </c>
      <c r="C43" s="33">
        <v>0.52</v>
      </c>
      <c r="D43" s="33">
        <v>15.33</v>
      </c>
      <c r="E43" s="33">
        <v>45.67</v>
      </c>
      <c r="F43" s="66">
        <v>13.61</v>
      </c>
      <c r="G43" s="33">
        <v>0.72</v>
      </c>
      <c r="H43" s="33">
        <v>15.56</v>
      </c>
      <c r="I43" s="33">
        <v>8.07</v>
      </c>
      <c r="J43" s="67">
        <v>39.200000000000003</v>
      </c>
      <c r="K43" s="67">
        <v>33.549999999999997</v>
      </c>
      <c r="L43" s="67">
        <v>53.34</v>
      </c>
      <c r="M43" s="67">
        <v>56.58</v>
      </c>
      <c r="N43" s="67">
        <v>48.23</v>
      </c>
      <c r="O43" s="67">
        <v>46.5</v>
      </c>
      <c r="P43" s="67">
        <v>30.25</v>
      </c>
      <c r="Q43" s="79">
        <f t="shared" si="1"/>
        <v>39.5</v>
      </c>
      <c r="R43" s="36"/>
    </row>
    <row r="44" spans="1:18" ht="18" customHeight="1" x14ac:dyDescent="0.2">
      <c r="A44" s="32">
        <v>2036</v>
      </c>
      <c r="B44" s="32" t="s">
        <v>382</v>
      </c>
      <c r="C44" s="33">
        <v>0.52</v>
      </c>
      <c r="D44" s="33">
        <v>15.16</v>
      </c>
      <c r="E44" s="33">
        <v>45.34</v>
      </c>
      <c r="F44" s="66">
        <v>13.81</v>
      </c>
      <c r="G44" s="33">
        <v>0.72</v>
      </c>
      <c r="H44" s="33">
        <v>15.31</v>
      </c>
      <c r="I44" s="33">
        <v>7.9</v>
      </c>
      <c r="J44" s="67">
        <v>39.76</v>
      </c>
      <c r="K44" s="67">
        <v>34.119999999999997</v>
      </c>
      <c r="L44" s="67">
        <v>54.22</v>
      </c>
      <c r="M44" s="67">
        <v>57.43</v>
      </c>
      <c r="N44" s="67">
        <v>49.19</v>
      </c>
      <c r="O44" s="67">
        <v>47.55</v>
      </c>
      <c r="P44" s="67">
        <v>30.86</v>
      </c>
      <c r="Q44" s="80">
        <f t="shared" si="1"/>
        <v>40.1</v>
      </c>
      <c r="R44" s="36"/>
    </row>
    <row r="45" spans="1:18" ht="45" customHeight="1" x14ac:dyDescent="0.2">
      <c r="A45" s="32">
        <v>2037</v>
      </c>
      <c r="B45" s="32" t="s">
        <v>383</v>
      </c>
      <c r="C45" s="33">
        <v>0.51</v>
      </c>
      <c r="D45" s="33">
        <v>14.98</v>
      </c>
      <c r="E45" s="33">
        <v>45.01</v>
      </c>
      <c r="F45" s="66">
        <v>14.02</v>
      </c>
      <c r="G45" s="33">
        <v>0.71</v>
      </c>
      <c r="H45" s="33">
        <v>15.05</v>
      </c>
      <c r="I45" s="33">
        <v>7.72</v>
      </c>
      <c r="J45" s="67">
        <v>40.32</v>
      </c>
      <c r="K45" s="67">
        <v>34.71</v>
      </c>
      <c r="L45" s="67">
        <v>55.11</v>
      </c>
      <c r="M45" s="67">
        <v>58.29</v>
      </c>
      <c r="N45" s="67">
        <v>50.15</v>
      </c>
      <c r="O45" s="67">
        <v>48.6</v>
      </c>
      <c r="P45" s="67">
        <v>31.48</v>
      </c>
      <c r="Q45" s="81">
        <f t="shared" si="1"/>
        <v>40.799999999999997</v>
      </c>
      <c r="R45" s="36" t="s">
        <v>394</v>
      </c>
    </row>
    <row r="46" spans="1:18" ht="18" customHeight="1" x14ac:dyDescent="0.2">
      <c r="A46" s="32">
        <v>2037</v>
      </c>
      <c r="B46" s="32" t="s">
        <v>380</v>
      </c>
      <c r="C46" s="33">
        <v>0.5</v>
      </c>
      <c r="D46" s="33">
        <v>14.8</v>
      </c>
      <c r="E46" s="33">
        <v>44.68</v>
      </c>
      <c r="F46" s="66">
        <v>14.22</v>
      </c>
      <c r="G46" s="33">
        <v>0.7</v>
      </c>
      <c r="H46" s="33">
        <v>14.8</v>
      </c>
      <c r="I46" s="33">
        <v>7.55</v>
      </c>
      <c r="J46" s="67">
        <v>40.9</v>
      </c>
      <c r="K46" s="67">
        <v>35.299999999999997</v>
      </c>
      <c r="L46" s="67">
        <v>56</v>
      </c>
      <c r="M46" s="67">
        <v>59.15</v>
      </c>
      <c r="N46" s="67">
        <v>51.12</v>
      </c>
      <c r="O46" s="67">
        <v>49.66</v>
      </c>
      <c r="P46" s="67">
        <v>32.11</v>
      </c>
      <c r="Q46" s="82">
        <f t="shared" si="1"/>
        <v>41.5</v>
      </c>
      <c r="R46" s="36"/>
    </row>
    <row r="47" spans="1:18" ht="18" customHeight="1" x14ac:dyDescent="0.2">
      <c r="A47" s="32">
        <v>2037</v>
      </c>
      <c r="B47" s="32" t="s">
        <v>381</v>
      </c>
      <c r="C47" s="33">
        <v>0.5</v>
      </c>
      <c r="D47" s="33">
        <v>14.62</v>
      </c>
      <c r="E47" s="33">
        <v>44.34</v>
      </c>
      <c r="F47" s="66">
        <v>14.43</v>
      </c>
      <c r="G47" s="33">
        <v>0.7</v>
      </c>
      <c r="H47" s="33">
        <v>14.54</v>
      </c>
      <c r="I47" s="33">
        <v>7.39</v>
      </c>
      <c r="J47" s="67">
        <v>41.49</v>
      </c>
      <c r="K47" s="67">
        <v>35.92</v>
      </c>
      <c r="L47" s="67">
        <v>56.9</v>
      </c>
      <c r="M47" s="67">
        <v>60.02</v>
      </c>
      <c r="N47" s="67">
        <v>52.09</v>
      </c>
      <c r="O47" s="67">
        <v>50.72</v>
      </c>
      <c r="P47" s="67">
        <v>32.76</v>
      </c>
      <c r="Q47" s="83">
        <f t="shared" si="1"/>
        <v>42.2</v>
      </c>
      <c r="R47" s="36"/>
    </row>
    <row r="48" spans="1:18" ht="18" customHeight="1" x14ac:dyDescent="0.2">
      <c r="A48" s="32">
        <v>2037</v>
      </c>
      <c r="B48" s="32" t="s">
        <v>382</v>
      </c>
      <c r="C48" s="33">
        <v>0.49</v>
      </c>
      <c r="D48" s="33">
        <v>14.44</v>
      </c>
      <c r="E48" s="33">
        <v>44.01</v>
      </c>
      <c r="F48" s="66">
        <v>14.63</v>
      </c>
      <c r="G48" s="33">
        <v>0.69</v>
      </c>
      <c r="H48" s="33">
        <v>14.28</v>
      </c>
      <c r="I48" s="33">
        <v>7.22</v>
      </c>
      <c r="J48" s="67">
        <v>42.1</v>
      </c>
      <c r="K48" s="67">
        <v>36.54</v>
      </c>
      <c r="L48" s="67">
        <v>57.79</v>
      </c>
      <c r="M48" s="67">
        <v>60.89</v>
      </c>
      <c r="N48" s="67">
        <v>53.06</v>
      </c>
      <c r="O48" s="67">
        <v>51.79</v>
      </c>
      <c r="P48" s="67">
        <v>33.42</v>
      </c>
      <c r="Q48" s="84">
        <f t="shared" si="1"/>
        <v>42.9</v>
      </c>
      <c r="R48" s="36"/>
    </row>
    <row r="49" spans="1:18" ht="45" customHeight="1" x14ac:dyDescent="0.2">
      <c r="A49" s="32">
        <v>2038</v>
      </c>
      <c r="B49" s="32" t="s">
        <v>383</v>
      </c>
      <c r="C49" s="33">
        <v>0.49</v>
      </c>
      <c r="D49" s="33">
        <v>14.26</v>
      </c>
      <c r="E49" s="33">
        <v>43.67</v>
      </c>
      <c r="F49" s="66">
        <v>14.84</v>
      </c>
      <c r="G49" s="33">
        <v>0.68</v>
      </c>
      <c r="H49" s="33">
        <v>14.02</v>
      </c>
      <c r="I49" s="33">
        <v>7.06</v>
      </c>
      <c r="J49" s="67">
        <v>42.72</v>
      </c>
      <c r="K49" s="67">
        <v>37.18</v>
      </c>
      <c r="L49" s="67">
        <v>58.69</v>
      </c>
      <c r="M49" s="67">
        <v>61.76</v>
      </c>
      <c r="N49" s="67">
        <v>54.04</v>
      </c>
      <c r="O49" s="67">
        <v>52.86</v>
      </c>
      <c r="P49" s="67">
        <v>34.1</v>
      </c>
      <c r="Q49" s="85">
        <f t="shared" si="1"/>
        <v>43.6</v>
      </c>
      <c r="R49" s="36" t="s">
        <v>395</v>
      </c>
    </row>
    <row r="50" spans="1:18" ht="18" customHeight="1" x14ac:dyDescent="0.2">
      <c r="A50" s="32">
        <v>2038</v>
      </c>
      <c r="B50" s="32" t="s">
        <v>380</v>
      </c>
      <c r="C50" s="33">
        <v>0.48</v>
      </c>
      <c r="D50" s="33">
        <v>14.08</v>
      </c>
      <c r="E50" s="33">
        <v>43.34</v>
      </c>
      <c r="F50" s="66">
        <v>15.04</v>
      </c>
      <c r="G50" s="33">
        <v>0.68</v>
      </c>
      <c r="H50" s="33">
        <v>13.76</v>
      </c>
      <c r="I50" s="33">
        <v>6.9</v>
      </c>
      <c r="J50" s="67">
        <v>43.35</v>
      </c>
      <c r="K50" s="67">
        <v>37.83</v>
      </c>
      <c r="L50" s="67">
        <v>59.6</v>
      </c>
      <c r="M50" s="67">
        <v>62.63</v>
      </c>
      <c r="N50" s="67">
        <v>55.02</v>
      </c>
      <c r="O50" s="67">
        <v>53.93</v>
      </c>
      <c r="P50" s="67">
        <v>34.79</v>
      </c>
      <c r="Q50" s="86">
        <f t="shared" si="1"/>
        <v>44.3</v>
      </c>
      <c r="R50" s="36"/>
    </row>
    <row r="51" spans="1:18" ht="18" customHeight="1" x14ac:dyDescent="0.2">
      <c r="A51" s="32">
        <v>2038</v>
      </c>
      <c r="B51" s="32" t="s">
        <v>381</v>
      </c>
      <c r="C51" s="66">
        <v>0.48</v>
      </c>
      <c r="D51" s="66">
        <v>13.9</v>
      </c>
      <c r="E51" s="66">
        <v>43</v>
      </c>
      <c r="F51" s="66">
        <v>15.25</v>
      </c>
      <c r="G51" s="66">
        <v>0.67</v>
      </c>
      <c r="H51" s="66">
        <v>13.5</v>
      </c>
      <c r="I51" s="66">
        <v>6.75</v>
      </c>
      <c r="J51" s="67">
        <v>44</v>
      </c>
      <c r="K51" s="67">
        <v>38.5</v>
      </c>
      <c r="L51" s="67">
        <v>60.5</v>
      </c>
      <c r="M51" s="67">
        <v>63.5</v>
      </c>
      <c r="N51" s="67">
        <v>56</v>
      </c>
      <c r="O51" s="67">
        <v>55</v>
      </c>
      <c r="P51" s="67">
        <v>35.5</v>
      </c>
      <c r="Q51" s="87">
        <f t="shared" si="1"/>
        <v>45</v>
      </c>
      <c r="R51" s="36"/>
    </row>
    <row r="52" spans="1:18" ht="18" customHeight="1" x14ac:dyDescent="0.2">
      <c r="A52" s="32">
        <v>2038</v>
      </c>
      <c r="B52" s="32" t="s">
        <v>382</v>
      </c>
      <c r="C52" s="66">
        <v>0.47</v>
      </c>
      <c r="D52" s="66">
        <v>13.72</v>
      </c>
      <c r="E52" s="66">
        <v>42.66</v>
      </c>
      <c r="F52" s="66">
        <v>15.46</v>
      </c>
      <c r="G52" s="66">
        <v>0.66</v>
      </c>
      <c r="H52" s="66">
        <v>13.24</v>
      </c>
      <c r="I52" s="66">
        <v>6.6</v>
      </c>
      <c r="J52" s="67">
        <v>44.66</v>
      </c>
      <c r="K52" s="67">
        <v>39.18</v>
      </c>
      <c r="L52" s="67">
        <v>61.4</v>
      </c>
      <c r="M52" s="67">
        <v>64.37</v>
      </c>
      <c r="N52" s="67">
        <v>56.98</v>
      </c>
      <c r="O52" s="67">
        <v>56.07</v>
      </c>
      <c r="P52" s="67">
        <v>36.22</v>
      </c>
      <c r="Q52" s="88">
        <f t="shared" si="1"/>
        <v>45.7</v>
      </c>
      <c r="R52" s="36"/>
    </row>
    <row r="53" spans="1:18" ht="45" customHeight="1" x14ac:dyDescent="0.2">
      <c r="A53" s="32">
        <v>2039</v>
      </c>
      <c r="B53" s="32" t="s">
        <v>383</v>
      </c>
      <c r="C53" s="66">
        <v>0.46</v>
      </c>
      <c r="D53" s="66">
        <v>13.54</v>
      </c>
      <c r="E53" s="66">
        <v>42.33</v>
      </c>
      <c r="F53" s="66">
        <v>15.66</v>
      </c>
      <c r="G53" s="66">
        <v>0.66</v>
      </c>
      <c r="H53" s="66">
        <v>12.98</v>
      </c>
      <c r="I53" s="66">
        <v>6.45</v>
      </c>
      <c r="J53" s="67">
        <v>45.33</v>
      </c>
      <c r="K53" s="67">
        <v>39.869999999999997</v>
      </c>
      <c r="L53" s="67">
        <v>62.31</v>
      </c>
      <c r="M53" s="67">
        <v>65.239999999999995</v>
      </c>
      <c r="N53" s="67">
        <v>57.96</v>
      </c>
      <c r="O53" s="67">
        <v>57.14</v>
      </c>
      <c r="P53" s="67">
        <v>36.96</v>
      </c>
      <c r="Q53" s="89">
        <f t="shared" si="1"/>
        <v>46.4</v>
      </c>
      <c r="R53" s="36" t="s">
        <v>396</v>
      </c>
    </row>
    <row r="54" spans="1:18" ht="18" customHeight="1" x14ac:dyDescent="0.2">
      <c r="A54" s="32">
        <v>2039</v>
      </c>
      <c r="B54" s="32" t="s">
        <v>380</v>
      </c>
      <c r="C54" s="66">
        <v>0.46</v>
      </c>
      <c r="D54" s="66">
        <v>13.36</v>
      </c>
      <c r="E54" s="66">
        <v>41.99</v>
      </c>
      <c r="F54" s="66">
        <v>15.87</v>
      </c>
      <c r="G54" s="66">
        <v>0.65</v>
      </c>
      <c r="H54" s="66">
        <v>12.72</v>
      </c>
      <c r="I54" s="66">
        <v>6.3</v>
      </c>
      <c r="J54" s="67">
        <v>46.02</v>
      </c>
      <c r="K54" s="67">
        <v>40.58</v>
      </c>
      <c r="L54" s="67">
        <v>63.21</v>
      </c>
      <c r="M54" s="67">
        <v>66.11</v>
      </c>
      <c r="N54" s="67">
        <v>58.94</v>
      </c>
      <c r="O54" s="67">
        <v>58.21</v>
      </c>
      <c r="P54" s="67">
        <v>37.71</v>
      </c>
      <c r="Q54" s="90">
        <f t="shared" si="1"/>
        <v>47.1</v>
      </c>
      <c r="R54" s="36"/>
    </row>
    <row r="55" spans="1:18" ht="18" customHeight="1" x14ac:dyDescent="0.2">
      <c r="A55" s="32">
        <v>2039</v>
      </c>
      <c r="B55" s="32" t="s">
        <v>381</v>
      </c>
      <c r="C55" s="66">
        <v>0.45</v>
      </c>
      <c r="D55" s="66">
        <v>13.18</v>
      </c>
      <c r="E55" s="66">
        <v>41.66</v>
      </c>
      <c r="F55" s="66">
        <v>16.07</v>
      </c>
      <c r="G55" s="66">
        <v>0.64</v>
      </c>
      <c r="H55" s="66">
        <v>12.46</v>
      </c>
      <c r="I55" s="66">
        <v>6.16</v>
      </c>
      <c r="J55" s="67">
        <v>46.72</v>
      </c>
      <c r="K55" s="67">
        <v>41.3</v>
      </c>
      <c r="L55" s="67">
        <v>64.099999999999994</v>
      </c>
      <c r="M55" s="67">
        <v>66.98</v>
      </c>
      <c r="N55" s="67">
        <v>59.91</v>
      </c>
      <c r="O55" s="67">
        <v>59.28</v>
      </c>
      <c r="P55" s="67">
        <v>38.47</v>
      </c>
      <c r="Q55" s="91">
        <f t="shared" si="1"/>
        <v>47.9</v>
      </c>
      <c r="R55" s="36"/>
    </row>
    <row r="56" spans="1:18" ht="18" customHeight="1" x14ac:dyDescent="0.2">
      <c r="A56" s="32">
        <v>2039</v>
      </c>
      <c r="B56" s="32" t="s">
        <v>382</v>
      </c>
      <c r="C56" s="66">
        <v>0.45</v>
      </c>
      <c r="D56" s="66">
        <v>13</v>
      </c>
      <c r="E56" s="66">
        <v>41.32</v>
      </c>
      <c r="F56" s="66">
        <v>16.28</v>
      </c>
      <c r="G56" s="66">
        <v>0.64</v>
      </c>
      <c r="H56" s="66">
        <v>12.2</v>
      </c>
      <c r="I56" s="66">
        <v>6.02</v>
      </c>
      <c r="J56" s="67">
        <v>47.43</v>
      </c>
      <c r="K56" s="67">
        <v>42.04</v>
      </c>
      <c r="L56" s="67">
        <v>65</v>
      </c>
      <c r="M56" s="67">
        <v>67.849999999999994</v>
      </c>
      <c r="N56" s="67">
        <v>60.88</v>
      </c>
      <c r="O56" s="67">
        <v>60.34</v>
      </c>
      <c r="P56" s="67">
        <v>39.25</v>
      </c>
      <c r="Q56" s="92">
        <f t="shared" si="1"/>
        <v>48.6</v>
      </c>
      <c r="R56" s="36"/>
    </row>
    <row r="57" spans="1:18" ht="45" customHeight="1" x14ac:dyDescent="0.2">
      <c r="A57" s="32">
        <v>2040</v>
      </c>
      <c r="B57" s="32" t="s">
        <v>383</v>
      </c>
      <c r="C57" s="66">
        <v>0.44</v>
      </c>
      <c r="D57" s="66">
        <v>12.82</v>
      </c>
      <c r="E57" s="66">
        <v>40.99</v>
      </c>
      <c r="F57" s="66">
        <v>16.48</v>
      </c>
      <c r="G57" s="66">
        <v>0.63</v>
      </c>
      <c r="H57" s="66">
        <v>11.95</v>
      </c>
      <c r="I57" s="66">
        <v>5.89</v>
      </c>
      <c r="J57" s="67">
        <v>48.16</v>
      </c>
      <c r="K57" s="67">
        <v>42.79</v>
      </c>
      <c r="L57" s="67">
        <v>65.89</v>
      </c>
      <c r="M57" s="67">
        <v>68.709999999999994</v>
      </c>
      <c r="N57" s="67">
        <v>61.85</v>
      </c>
      <c r="O57" s="67">
        <v>61.4</v>
      </c>
      <c r="P57" s="67">
        <v>40.049999999999997</v>
      </c>
      <c r="Q57" s="93">
        <f t="shared" si="1"/>
        <v>49.3</v>
      </c>
      <c r="R57" s="36" t="s">
        <v>397</v>
      </c>
    </row>
    <row r="58" spans="1:18" ht="18" customHeight="1" x14ac:dyDescent="0.2">
      <c r="A58" s="32">
        <v>2040</v>
      </c>
      <c r="B58" s="32" t="s">
        <v>380</v>
      </c>
      <c r="C58" s="66">
        <v>0.43</v>
      </c>
      <c r="D58" s="66">
        <v>12.64</v>
      </c>
      <c r="E58" s="66">
        <v>40.659999999999997</v>
      </c>
      <c r="F58" s="66">
        <v>16.690000000000001</v>
      </c>
      <c r="G58" s="66">
        <v>0.62</v>
      </c>
      <c r="H58" s="66">
        <v>11.69</v>
      </c>
      <c r="I58" s="66">
        <v>5.76</v>
      </c>
      <c r="J58" s="67">
        <v>48.9</v>
      </c>
      <c r="K58" s="67">
        <v>43.55</v>
      </c>
      <c r="L58" s="67">
        <v>66.78</v>
      </c>
      <c r="M58" s="67">
        <v>69.569999999999993</v>
      </c>
      <c r="N58" s="67">
        <v>62.81</v>
      </c>
      <c r="O58" s="67">
        <v>62.45</v>
      </c>
      <c r="P58" s="67">
        <v>40.86</v>
      </c>
      <c r="Q58" s="94">
        <f t="shared" si="1"/>
        <v>50.1</v>
      </c>
      <c r="R58" s="36"/>
    </row>
    <row r="59" spans="1:18" ht="18" customHeight="1" x14ac:dyDescent="0.2">
      <c r="A59" s="32">
        <v>2040</v>
      </c>
      <c r="B59" s="32" t="s">
        <v>381</v>
      </c>
      <c r="C59" s="66">
        <v>0.43</v>
      </c>
      <c r="D59" s="66">
        <v>12.47</v>
      </c>
      <c r="E59" s="66">
        <v>40.33</v>
      </c>
      <c r="F59" s="66">
        <v>16.89</v>
      </c>
      <c r="G59" s="66">
        <v>0.62</v>
      </c>
      <c r="H59" s="66">
        <v>11.44</v>
      </c>
      <c r="I59" s="66">
        <v>5.63</v>
      </c>
      <c r="J59" s="67">
        <v>49.65</v>
      </c>
      <c r="K59" s="67">
        <v>44.33</v>
      </c>
      <c r="L59" s="67">
        <v>67.66</v>
      </c>
      <c r="M59" s="67">
        <v>70.42</v>
      </c>
      <c r="N59" s="67">
        <v>63.77</v>
      </c>
      <c r="O59" s="67">
        <v>63.5</v>
      </c>
      <c r="P59" s="67">
        <v>41.68</v>
      </c>
      <c r="Q59" s="95">
        <f t="shared" si="1"/>
        <v>50.8</v>
      </c>
      <c r="R59" s="36"/>
    </row>
    <row r="60" spans="1:18" ht="18" customHeight="1" x14ac:dyDescent="0.2">
      <c r="A60" s="32">
        <v>2040</v>
      </c>
      <c r="B60" s="32" t="s">
        <v>382</v>
      </c>
      <c r="C60" s="66">
        <v>0.42</v>
      </c>
      <c r="D60" s="66">
        <v>12.29</v>
      </c>
      <c r="E60" s="66">
        <v>40</v>
      </c>
      <c r="F60" s="66">
        <v>17.09</v>
      </c>
      <c r="G60" s="66">
        <v>0.61</v>
      </c>
      <c r="H60" s="66">
        <v>11.18</v>
      </c>
      <c r="I60" s="66">
        <v>5.5</v>
      </c>
      <c r="J60" s="67">
        <v>50.42</v>
      </c>
      <c r="K60" s="67">
        <v>45.12</v>
      </c>
      <c r="L60" s="67">
        <v>68.540000000000006</v>
      </c>
      <c r="M60" s="67">
        <v>71.260000000000005</v>
      </c>
      <c r="N60" s="67">
        <v>64.72</v>
      </c>
      <c r="O60" s="67">
        <v>64.53</v>
      </c>
      <c r="P60" s="67">
        <v>42.52</v>
      </c>
      <c r="Q60" s="96">
        <f t="shared" si="1"/>
        <v>51.6</v>
      </c>
      <c r="R60" s="36"/>
    </row>
    <row r="61" spans="1:18" ht="45" customHeight="1" x14ac:dyDescent="0.2">
      <c r="A61" s="32">
        <v>2041</v>
      </c>
      <c r="B61" s="32" t="s">
        <v>383</v>
      </c>
      <c r="C61" s="66">
        <v>0.42</v>
      </c>
      <c r="D61" s="66">
        <v>12.12</v>
      </c>
      <c r="E61" s="66">
        <v>39.68</v>
      </c>
      <c r="F61" s="66">
        <v>17.29</v>
      </c>
      <c r="G61" s="66">
        <v>0.6</v>
      </c>
      <c r="H61" s="66">
        <v>10.93</v>
      </c>
      <c r="I61" s="66">
        <v>5.38</v>
      </c>
      <c r="J61" s="67">
        <v>51.2</v>
      </c>
      <c r="K61" s="67">
        <v>45.92</v>
      </c>
      <c r="L61" s="67">
        <v>69.41</v>
      </c>
      <c r="M61" s="67">
        <v>72.099999999999994</v>
      </c>
      <c r="N61" s="67">
        <v>65.66</v>
      </c>
      <c r="O61" s="67">
        <v>65.569999999999993</v>
      </c>
      <c r="P61" s="67">
        <v>43.37</v>
      </c>
      <c r="Q61" s="97">
        <f t="shared" si="1"/>
        <v>52.3</v>
      </c>
      <c r="R61" s="36" t="s">
        <v>398</v>
      </c>
    </row>
    <row r="62" spans="1:18" ht="18" customHeight="1" x14ac:dyDescent="0.2">
      <c r="A62" s="32">
        <v>2041</v>
      </c>
      <c r="B62" s="32" t="s">
        <v>380</v>
      </c>
      <c r="C62" s="66">
        <v>0.41</v>
      </c>
      <c r="D62" s="66">
        <v>11.95</v>
      </c>
      <c r="E62" s="66">
        <v>39.36</v>
      </c>
      <c r="F62" s="66">
        <v>17.48</v>
      </c>
      <c r="G62" s="66">
        <v>0.6</v>
      </c>
      <c r="H62" s="66">
        <v>10.69</v>
      </c>
      <c r="I62" s="66">
        <v>5.26</v>
      </c>
      <c r="J62" s="67">
        <v>51.99</v>
      </c>
      <c r="K62" s="67">
        <v>46.74</v>
      </c>
      <c r="L62" s="67">
        <v>70.27</v>
      </c>
      <c r="M62" s="67">
        <v>72.94</v>
      </c>
      <c r="N62" s="67">
        <v>66.59</v>
      </c>
      <c r="O62" s="67">
        <v>66.59</v>
      </c>
      <c r="P62" s="67">
        <v>44.24</v>
      </c>
      <c r="Q62" s="98">
        <f t="shared" si="1"/>
        <v>53.1</v>
      </c>
      <c r="R62" s="36"/>
    </row>
    <row r="63" spans="1:18" ht="18" customHeight="1" x14ac:dyDescent="0.2">
      <c r="A63" s="32">
        <v>2041</v>
      </c>
      <c r="B63" s="32" t="s">
        <v>381</v>
      </c>
      <c r="C63" s="66">
        <v>0.4</v>
      </c>
      <c r="D63" s="66">
        <v>11.78</v>
      </c>
      <c r="E63" s="66">
        <v>39.04</v>
      </c>
      <c r="F63" s="66">
        <v>17.68</v>
      </c>
      <c r="G63" s="66">
        <v>0.59</v>
      </c>
      <c r="H63" s="66">
        <v>10.44</v>
      </c>
      <c r="I63" s="66">
        <v>5.14</v>
      </c>
      <c r="J63" s="67">
        <v>52.8</v>
      </c>
      <c r="K63" s="67">
        <v>47.57</v>
      </c>
      <c r="L63" s="67">
        <v>71.12</v>
      </c>
      <c r="M63" s="67">
        <v>73.760000000000005</v>
      </c>
      <c r="N63" s="67">
        <v>67.52</v>
      </c>
      <c r="O63" s="67">
        <v>67.599999999999994</v>
      </c>
      <c r="P63" s="67">
        <v>45.12</v>
      </c>
      <c r="Q63" s="99">
        <f t="shared" si="1"/>
        <v>53.8</v>
      </c>
      <c r="R63" s="36"/>
    </row>
    <row r="64" spans="1:18" ht="18" customHeight="1" x14ac:dyDescent="0.2">
      <c r="A64" s="32">
        <v>2041</v>
      </c>
      <c r="B64" s="32" t="s">
        <v>382</v>
      </c>
      <c r="C64" s="66">
        <v>0.4</v>
      </c>
      <c r="D64" s="66">
        <v>11.61</v>
      </c>
      <c r="E64" s="66">
        <v>38.729999999999997</v>
      </c>
      <c r="F64" s="66">
        <v>17.87</v>
      </c>
      <c r="G64" s="66">
        <v>0.57999999999999996</v>
      </c>
      <c r="H64" s="66">
        <v>10.199999999999999</v>
      </c>
      <c r="I64" s="66">
        <v>5.0199999999999996</v>
      </c>
      <c r="J64" s="67">
        <v>53.62</v>
      </c>
      <c r="K64" s="67">
        <v>48.42</v>
      </c>
      <c r="L64" s="67">
        <v>71.959999999999994</v>
      </c>
      <c r="M64" s="67">
        <v>74.58</v>
      </c>
      <c r="N64" s="67">
        <v>68.44</v>
      </c>
      <c r="O64" s="67">
        <v>68.599999999999994</v>
      </c>
      <c r="P64" s="67">
        <v>46.02</v>
      </c>
      <c r="Q64" s="100">
        <f t="shared" si="1"/>
        <v>54.6</v>
      </c>
      <c r="R64" s="36"/>
    </row>
    <row r="65" spans="1:18" ht="45" customHeight="1" x14ac:dyDescent="0.2">
      <c r="A65" s="32">
        <v>2042</v>
      </c>
      <c r="B65" s="32" t="s">
        <v>383</v>
      </c>
      <c r="C65" s="66">
        <v>0.39</v>
      </c>
      <c r="D65" s="66">
        <v>11.44</v>
      </c>
      <c r="E65" s="66">
        <v>38.409999999999997</v>
      </c>
      <c r="F65" s="66">
        <v>18.059999999999999</v>
      </c>
      <c r="G65" s="66">
        <v>0.57999999999999996</v>
      </c>
      <c r="H65" s="66">
        <v>9.9600000000000009</v>
      </c>
      <c r="I65" s="66">
        <v>4.91</v>
      </c>
      <c r="J65" s="67">
        <v>54.45</v>
      </c>
      <c r="K65" s="67">
        <v>49.28</v>
      </c>
      <c r="L65" s="67">
        <v>72.8</v>
      </c>
      <c r="M65" s="67">
        <v>75.38</v>
      </c>
      <c r="N65" s="67">
        <v>69.34</v>
      </c>
      <c r="O65" s="67">
        <v>69.59</v>
      </c>
      <c r="P65" s="67">
        <v>46.93</v>
      </c>
      <c r="Q65" s="101">
        <f t="shared" si="1"/>
        <v>55.3</v>
      </c>
      <c r="R65" s="36" t="s">
        <v>399</v>
      </c>
    </row>
    <row r="66" spans="1:18" ht="18" customHeight="1" x14ac:dyDescent="0.2">
      <c r="A66" s="32">
        <v>2042</v>
      </c>
      <c r="B66" s="32" t="s">
        <v>380</v>
      </c>
      <c r="C66" s="66">
        <v>0.39</v>
      </c>
      <c r="D66" s="66">
        <v>11.28</v>
      </c>
      <c r="E66" s="66">
        <v>38.11</v>
      </c>
      <c r="F66" s="66">
        <v>18.25</v>
      </c>
      <c r="G66" s="66">
        <v>0.56999999999999995</v>
      </c>
      <c r="H66" s="66">
        <v>9.7200000000000006</v>
      </c>
      <c r="I66" s="66">
        <v>4.8099999999999996</v>
      </c>
      <c r="J66" s="67">
        <v>55.3</v>
      </c>
      <c r="K66" s="67">
        <v>50.15</v>
      </c>
      <c r="L66" s="67">
        <v>73.62</v>
      </c>
      <c r="M66" s="67">
        <v>76.180000000000007</v>
      </c>
      <c r="N66" s="67">
        <v>70.23</v>
      </c>
      <c r="O66" s="67">
        <v>70.569999999999993</v>
      </c>
      <c r="P66" s="67">
        <v>47.85</v>
      </c>
      <c r="Q66" s="102">
        <f t="shared" ref="Q66:Q97" si="2">ROUND(AVERAGE(I66:P66),1)</f>
        <v>56.1</v>
      </c>
      <c r="R66" s="36"/>
    </row>
    <row r="67" spans="1:18" ht="18" customHeight="1" x14ac:dyDescent="0.2">
      <c r="A67" s="32">
        <v>2042</v>
      </c>
      <c r="B67" s="32" t="s">
        <v>381</v>
      </c>
      <c r="C67" s="66">
        <v>0.38</v>
      </c>
      <c r="D67" s="66">
        <v>11.11</v>
      </c>
      <c r="E67" s="66">
        <v>37.799999999999997</v>
      </c>
      <c r="F67" s="66">
        <v>18.440000000000001</v>
      </c>
      <c r="G67" s="66">
        <v>0.56999999999999995</v>
      </c>
      <c r="H67" s="66">
        <v>9.48</v>
      </c>
      <c r="I67" s="66">
        <v>4.7</v>
      </c>
      <c r="J67" s="67">
        <v>56.15</v>
      </c>
      <c r="K67" s="67">
        <v>51.03</v>
      </c>
      <c r="L67" s="67">
        <v>74.44</v>
      </c>
      <c r="M67" s="67">
        <v>76.959999999999994</v>
      </c>
      <c r="N67" s="67">
        <v>71.12</v>
      </c>
      <c r="O67" s="67">
        <v>71.53</v>
      </c>
      <c r="P67" s="67">
        <v>48.79</v>
      </c>
      <c r="Q67" s="103">
        <f t="shared" si="2"/>
        <v>56.8</v>
      </c>
      <c r="R67" s="36"/>
    </row>
    <row r="68" spans="1:18" ht="18" customHeight="1" x14ac:dyDescent="0.2">
      <c r="A68" s="32">
        <v>2042</v>
      </c>
      <c r="B68" s="32" t="s">
        <v>382</v>
      </c>
      <c r="C68" s="66">
        <v>0.38</v>
      </c>
      <c r="D68" s="66">
        <v>10.95</v>
      </c>
      <c r="E68" s="66">
        <v>37.51</v>
      </c>
      <c r="F68" s="66">
        <v>18.62</v>
      </c>
      <c r="G68" s="66">
        <v>0.56000000000000005</v>
      </c>
      <c r="H68" s="66">
        <v>9.25</v>
      </c>
      <c r="I68" s="66">
        <v>4.5999999999999996</v>
      </c>
      <c r="J68" s="67">
        <v>57.03</v>
      </c>
      <c r="K68" s="67">
        <v>51.94</v>
      </c>
      <c r="L68" s="67">
        <v>75.239999999999995</v>
      </c>
      <c r="M68" s="67">
        <v>77.739999999999995</v>
      </c>
      <c r="N68" s="67">
        <v>71.98</v>
      </c>
      <c r="O68" s="67">
        <v>72.48</v>
      </c>
      <c r="P68" s="67">
        <v>49.75</v>
      </c>
      <c r="Q68" s="104">
        <f t="shared" si="2"/>
        <v>57.6</v>
      </c>
      <c r="R68" s="36"/>
    </row>
    <row r="69" spans="1:18" ht="45" customHeight="1" x14ac:dyDescent="0.2">
      <c r="A69" s="32">
        <v>2043</v>
      </c>
      <c r="B69" s="32" t="s">
        <v>383</v>
      </c>
      <c r="C69" s="66">
        <v>0.37</v>
      </c>
      <c r="D69" s="66">
        <v>10.8</v>
      </c>
      <c r="E69" s="66">
        <v>37.21</v>
      </c>
      <c r="F69" s="66">
        <v>18.8</v>
      </c>
      <c r="G69" s="66">
        <v>0.55000000000000004</v>
      </c>
      <c r="H69" s="66">
        <v>9.0299999999999994</v>
      </c>
      <c r="I69" s="66">
        <v>4.5</v>
      </c>
      <c r="J69" s="67">
        <v>57.91</v>
      </c>
      <c r="K69" s="67">
        <v>52.85</v>
      </c>
      <c r="L69" s="67">
        <v>76.02</v>
      </c>
      <c r="M69" s="67">
        <v>78.5</v>
      </c>
      <c r="N69" s="67">
        <v>72.84</v>
      </c>
      <c r="O69" s="67">
        <v>73.42</v>
      </c>
      <c r="P69" s="67">
        <v>50.72</v>
      </c>
      <c r="Q69" s="105">
        <f t="shared" si="2"/>
        <v>58.3</v>
      </c>
      <c r="R69" s="36" t="s">
        <v>400</v>
      </c>
    </row>
    <row r="70" spans="1:18" ht="18" customHeight="1" x14ac:dyDescent="0.2">
      <c r="A70" s="32">
        <v>2043</v>
      </c>
      <c r="B70" s="32" t="s">
        <v>380</v>
      </c>
      <c r="C70" s="66">
        <v>0.37</v>
      </c>
      <c r="D70" s="66">
        <v>10.64</v>
      </c>
      <c r="E70" s="66">
        <v>36.92</v>
      </c>
      <c r="F70" s="66">
        <v>18.98</v>
      </c>
      <c r="G70" s="66">
        <v>0.55000000000000004</v>
      </c>
      <c r="H70" s="66">
        <v>8.8000000000000007</v>
      </c>
      <c r="I70" s="66">
        <v>4.41</v>
      </c>
      <c r="J70" s="67">
        <v>58.81</v>
      </c>
      <c r="K70" s="67">
        <v>53.78</v>
      </c>
      <c r="L70" s="67">
        <v>76.8</v>
      </c>
      <c r="M70" s="67">
        <v>79.25</v>
      </c>
      <c r="N70" s="67">
        <v>73.680000000000007</v>
      </c>
      <c r="O70" s="67">
        <v>74.34</v>
      </c>
      <c r="P70" s="67">
        <v>51.7</v>
      </c>
      <c r="Q70" s="106">
        <f t="shared" si="2"/>
        <v>59.1</v>
      </c>
      <c r="R70" s="36"/>
    </row>
    <row r="71" spans="1:18" ht="18" customHeight="1" x14ac:dyDescent="0.2">
      <c r="A71" s="32">
        <v>2043</v>
      </c>
      <c r="B71" s="32" t="s">
        <v>381</v>
      </c>
      <c r="C71" s="66">
        <v>0.36</v>
      </c>
      <c r="D71" s="66">
        <v>10.49</v>
      </c>
      <c r="E71" s="66">
        <v>36.64</v>
      </c>
      <c r="F71" s="66">
        <v>19.149999999999999</v>
      </c>
      <c r="G71" s="66">
        <v>0.54</v>
      </c>
      <c r="H71" s="66">
        <v>8.58</v>
      </c>
      <c r="I71" s="66">
        <v>4.3099999999999996</v>
      </c>
      <c r="J71" s="67">
        <v>59.73</v>
      </c>
      <c r="K71" s="67">
        <v>54.72</v>
      </c>
      <c r="L71" s="67">
        <v>77.56</v>
      </c>
      <c r="M71" s="67">
        <v>79.98</v>
      </c>
      <c r="N71" s="67">
        <v>74.5</v>
      </c>
      <c r="O71" s="67">
        <v>75.239999999999995</v>
      </c>
      <c r="P71" s="67">
        <v>52.7</v>
      </c>
      <c r="Q71" s="107">
        <f t="shared" si="2"/>
        <v>59.8</v>
      </c>
      <c r="R71" s="36"/>
    </row>
    <row r="72" spans="1:18" ht="18" customHeight="1" x14ac:dyDescent="0.2">
      <c r="A72" s="32">
        <v>2043</v>
      </c>
      <c r="B72" s="32" t="s">
        <v>382</v>
      </c>
      <c r="C72" s="66">
        <v>0.36</v>
      </c>
      <c r="D72" s="66">
        <v>10.34</v>
      </c>
      <c r="E72" s="66">
        <v>36.36</v>
      </c>
      <c r="F72" s="66">
        <v>19.32</v>
      </c>
      <c r="G72" s="66">
        <v>0.54</v>
      </c>
      <c r="H72" s="66">
        <v>8.3699999999999992</v>
      </c>
      <c r="I72" s="66">
        <v>4.22</v>
      </c>
      <c r="J72" s="67">
        <v>60.65</v>
      </c>
      <c r="K72" s="67">
        <v>55.67</v>
      </c>
      <c r="L72" s="67">
        <v>78.3</v>
      </c>
      <c r="M72" s="67">
        <v>80.7</v>
      </c>
      <c r="N72" s="67">
        <v>75.31</v>
      </c>
      <c r="O72" s="67">
        <v>76.12</v>
      </c>
      <c r="P72" s="67">
        <v>53.71</v>
      </c>
      <c r="Q72" s="108">
        <f t="shared" si="2"/>
        <v>60.6</v>
      </c>
      <c r="R72" s="36"/>
    </row>
    <row r="73" spans="1:18" ht="45" customHeight="1" x14ac:dyDescent="0.2">
      <c r="A73" s="32">
        <v>2044</v>
      </c>
      <c r="B73" s="32" t="s">
        <v>383</v>
      </c>
      <c r="C73" s="66">
        <v>0.35</v>
      </c>
      <c r="D73" s="66">
        <v>10.19</v>
      </c>
      <c r="E73" s="66">
        <v>36.090000000000003</v>
      </c>
      <c r="F73" s="66">
        <v>19.489999999999998</v>
      </c>
      <c r="G73" s="66">
        <v>0.53</v>
      </c>
      <c r="H73" s="66">
        <v>8.16</v>
      </c>
      <c r="I73" s="66">
        <v>4.1399999999999997</v>
      </c>
      <c r="J73" s="67">
        <v>61.59</v>
      </c>
      <c r="K73" s="67">
        <v>56.64</v>
      </c>
      <c r="L73" s="67">
        <v>79.03</v>
      </c>
      <c r="M73" s="67">
        <v>81.400000000000006</v>
      </c>
      <c r="N73" s="67">
        <v>76.099999999999994</v>
      </c>
      <c r="O73" s="67">
        <v>76.989999999999995</v>
      </c>
      <c r="P73" s="67">
        <v>54.74</v>
      </c>
      <c r="Q73" s="109">
        <f t="shared" si="2"/>
        <v>61.3</v>
      </c>
      <c r="R73" s="36" t="s">
        <v>401</v>
      </c>
    </row>
    <row r="74" spans="1:18" ht="18" customHeight="1" x14ac:dyDescent="0.2">
      <c r="A74" s="32">
        <v>2044</v>
      </c>
      <c r="B74" s="32" t="s">
        <v>380</v>
      </c>
      <c r="C74" s="66">
        <v>0.35</v>
      </c>
      <c r="D74" s="66">
        <v>10.050000000000001</v>
      </c>
      <c r="E74" s="66">
        <v>35.82</v>
      </c>
      <c r="F74" s="66">
        <v>19.649999999999999</v>
      </c>
      <c r="G74" s="66">
        <v>0.53</v>
      </c>
      <c r="H74" s="66">
        <v>7.95</v>
      </c>
      <c r="I74" s="66">
        <v>4.0599999999999996</v>
      </c>
      <c r="J74" s="67">
        <v>62.55</v>
      </c>
      <c r="K74" s="67">
        <v>57.63</v>
      </c>
      <c r="L74" s="67">
        <v>79.739999999999995</v>
      </c>
      <c r="M74" s="67">
        <v>82.09</v>
      </c>
      <c r="N74" s="67">
        <v>76.88</v>
      </c>
      <c r="O74" s="67">
        <v>77.83</v>
      </c>
      <c r="P74" s="67">
        <v>55.78</v>
      </c>
      <c r="Q74" s="110">
        <f t="shared" si="2"/>
        <v>62.1</v>
      </c>
      <c r="R74" s="36"/>
    </row>
    <row r="75" spans="1:18" ht="18" customHeight="1" x14ac:dyDescent="0.2">
      <c r="A75" s="32">
        <v>2044</v>
      </c>
      <c r="B75" s="32" t="s">
        <v>381</v>
      </c>
      <c r="C75" s="66">
        <v>0.34</v>
      </c>
      <c r="D75" s="66">
        <v>9.91</v>
      </c>
      <c r="E75" s="66">
        <v>35.56</v>
      </c>
      <c r="F75" s="66">
        <v>19.809999999999999</v>
      </c>
      <c r="G75" s="66">
        <v>0.52</v>
      </c>
      <c r="H75" s="66">
        <v>7.75</v>
      </c>
      <c r="I75" s="66">
        <v>3.98</v>
      </c>
      <c r="J75" s="67">
        <v>63.51</v>
      </c>
      <c r="K75" s="67">
        <v>58.62</v>
      </c>
      <c r="L75" s="67">
        <v>80.44</v>
      </c>
      <c r="M75" s="67">
        <v>82.76</v>
      </c>
      <c r="N75" s="67">
        <v>77.63</v>
      </c>
      <c r="O75" s="67">
        <v>78.66</v>
      </c>
      <c r="P75" s="67">
        <v>56.84</v>
      </c>
      <c r="Q75" s="111">
        <f t="shared" si="2"/>
        <v>62.8</v>
      </c>
      <c r="R75" s="36"/>
    </row>
    <row r="76" spans="1:18" ht="18" customHeight="1" x14ac:dyDescent="0.2">
      <c r="A76" s="32">
        <v>2044</v>
      </c>
      <c r="B76" s="32" t="s">
        <v>382</v>
      </c>
      <c r="C76" s="66">
        <v>0.34</v>
      </c>
      <c r="D76" s="66">
        <v>9.7799999999999994</v>
      </c>
      <c r="E76" s="66">
        <v>35.31</v>
      </c>
      <c r="F76" s="66">
        <v>19.97</v>
      </c>
      <c r="G76" s="66">
        <v>0.52</v>
      </c>
      <c r="H76" s="66">
        <v>7.56</v>
      </c>
      <c r="I76" s="66">
        <v>3.9</v>
      </c>
      <c r="J76" s="67">
        <v>64.489999999999995</v>
      </c>
      <c r="K76" s="67">
        <v>59.63</v>
      </c>
      <c r="L76" s="67">
        <v>81.12</v>
      </c>
      <c r="M76" s="67">
        <v>83.42</v>
      </c>
      <c r="N76" s="67">
        <v>78.36</v>
      </c>
      <c r="O76" s="67">
        <v>79.459999999999994</v>
      </c>
      <c r="P76" s="67">
        <v>57.91</v>
      </c>
      <c r="Q76" s="112">
        <f t="shared" si="2"/>
        <v>63.5</v>
      </c>
      <c r="R76" s="36"/>
    </row>
    <row r="77" spans="1:18" ht="45" customHeight="1" x14ac:dyDescent="0.2">
      <c r="A77" s="32">
        <v>2045</v>
      </c>
      <c r="B77" s="32" t="s">
        <v>383</v>
      </c>
      <c r="C77" s="66">
        <v>0.33</v>
      </c>
      <c r="D77" s="66">
        <v>9.64</v>
      </c>
      <c r="E77" s="66">
        <v>35.07</v>
      </c>
      <c r="F77" s="66">
        <v>20.12</v>
      </c>
      <c r="G77" s="66">
        <v>0.51</v>
      </c>
      <c r="H77" s="66">
        <v>7.37</v>
      </c>
      <c r="I77" s="66">
        <v>3.83</v>
      </c>
      <c r="J77" s="67">
        <v>65.48</v>
      </c>
      <c r="K77" s="67">
        <v>60.66</v>
      </c>
      <c r="L77" s="67">
        <v>81.78</v>
      </c>
      <c r="M77" s="67">
        <v>84.05</v>
      </c>
      <c r="N77" s="67">
        <v>79.08</v>
      </c>
      <c r="O77" s="67">
        <v>80.239999999999995</v>
      </c>
      <c r="P77" s="67">
        <v>59</v>
      </c>
      <c r="Q77" s="113">
        <f t="shared" si="2"/>
        <v>64.3</v>
      </c>
      <c r="R77" s="36" t="s">
        <v>402</v>
      </c>
    </row>
    <row r="78" spans="1:18" ht="18" customHeight="1" x14ac:dyDescent="0.2">
      <c r="A78" s="32">
        <v>2045</v>
      </c>
      <c r="B78" s="32" t="s">
        <v>380</v>
      </c>
      <c r="C78" s="66">
        <v>0.33</v>
      </c>
      <c r="D78" s="66">
        <v>9.52</v>
      </c>
      <c r="E78" s="66">
        <v>34.83</v>
      </c>
      <c r="F78" s="66">
        <v>20.260000000000002</v>
      </c>
      <c r="G78" s="66">
        <v>0.51</v>
      </c>
      <c r="H78" s="66">
        <v>7.19</v>
      </c>
      <c r="I78" s="66">
        <v>3.76</v>
      </c>
      <c r="J78" s="67">
        <v>66.489999999999995</v>
      </c>
      <c r="K78" s="67">
        <v>61.69</v>
      </c>
      <c r="L78" s="67">
        <v>82.41</v>
      </c>
      <c r="M78" s="67">
        <v>84.67</v>
      </c>
      <c r="N78" s="67">
        <v>79.77</v>
      </c>
      <c r="O78" s="67">
        <v>81</v>
      </c>
      <c r="P78" s="67">
        <v>60.1</v>
      </c>
      <c r="Q78" s="114">
        <f t="shared" si="2"/>
        <v>65</v>
      </c>
      <c r="R78" s="36"/>
    </row>
    <row r="79" spans="1:18" ht="18" customHeight="1" x14ac:dyDescent="0.2">
      <c r="A79" s="32">
        <v>2045</v>
      </c>
      <c r="B79" s="32" t="s">
        <v>381</v>
      </c>
      <c r="C79" s="66">
        <v>0.33</v>
      </c>
      <c r="D79" s="66">
        <v>9.39</v>
      </c>
      <c r="E79" s="66">
        <v>34.6</v>
      </c>
      <c r="F79" s="66">
        <v>20.41</v>
      </c>
      <c r="G79" s="66">
        <v>0.5</v>
      </c>
      <c r="H79" s="66">
        <v>7.01</v>
      </c>
      <c r="I79" s="66">
        <v>3.69</v>
      </c>
      <c r="J79" s="67">
        <v>67.510000000000005</v>
      </c>
      <c r="K79" s="67">
        <v>62.74</v>
      </c>
      <c r="L79" s="67">
        <v>83.03</v>
      </c>
      <c r="M79" s="67">
        <v>85.27</v>
      </c>
      <c r="N79" s="67">
        <v>80.44</v>
      </c>
      <c r="O79" s="67">
        <v>81.73</v>
      </c>
      <c r="P79" s="67">
        <v>61.21</v>
      </c>
      <c r="Q79" s="115">
        <f t="shared" si="2"/>
        <v>65.7</v>
      </c>
      <c r="R79" s="36"/>
    </row>
    <row r="80" spans="1:18" ht="18" customHeight="1" x14ac:dyDescent="0.2">
      <c r="A80" s="32">
        <v>2045</v>
      </c>
      <c r="B80" s="32" t="s">
        <v>382</v>
      </c>
      <c r="C80" s="66">
        <v>0.32</v>
      </c>
      <c r="D80" s="66">
        <v>9.27</v>
      </c>
      <c r="E80" s="66">
        <v>34.369999999999997</v>
      </c>
      <c r="F80" s="66">
        <v>20.54</v>
      </c>
      <c r="G80" s="66">
        <v>0.5</v>
      </c>
      <c r="H80" s="66">
        <v>6.84</v>
      </c>
      <c r="I80" s="66">
        <v>3.62</v>
      </c>
      <c r="J80" s="67">
        <v>68.540000000000006</v>
      </c>
      <c r="K80" s="67">
        <v>63.81</v>
      </c>
      <c r="L80" s="67">
        <v>83.63</v>
      </c>
      <c r="M80" s="67">
        <v>85.85</v>
      </c>
      <c r="N80" s="67">
        <v>81.09</v>
      </c>
      <c r="O80" s="67">
        <v>82.44</v>
      </c>
      <c r="P80" s="67">
        <v>62.34</v>
      </c>
      <c r="Q80" s="116">
        <f t="shared" si="2"/>
        <v>66.400000000000006</v>
      </c>
      <c r="R80" s="36"/>
    </row>
    <row r="81" spans="1:18" ht="45" customHeight="1" x14ac:dyDescent="0.2">
      <c r="A81" s="32">
        <v>2046</v>
      </c>
      <c r="B81" s="32" t="s">
        <v>383</v>
      </c>
      <c r="C81" s="66">
        <v>0.32</v>
      </c>
      <c r="D81" s="66">
        <v>9.16</v>
      </c>
      <c r="E81" s="66">
        <v>34.159999999999997</v>
      </c>
      <c r="F81" s="66">
        <v>20.67</v>
      </c>
      <c r="G81" s="66">
        <v>0.49</v>
      </c>
      <c r="H81" s="66">
        <v>6.67</v>
      </c>
      <c r="I81" s="66">
        <v>3.56</v>
      </c>
      <c r="J81" s="67">
        <v>69.59</v>
      </c>
      <c r="K81" s="67">
        <v>64.89</v>
      </c>
      <c r="L81" s="67">
        <v>84.21</v>
      </c>
      <c r="M81" s="67">
        <v>86.4</v>
      </c>
      <c r="N81" s="67">
        <v>81.72</v>
      </c>
      <c r="O81" s="67">
        <v>83.13</v>
      </c>
      <c r="P81" s="67">
        <v>63.49</v>
      </c>
      <c r="Q81" s="117">
        <f t="shared" si="2"/>
        <v>67.099999999999994</v>
      </c>
      <c r="R81" s="36" t="s">
        <v>403</v>
      </c>
    </row>
    <row r="82" spans="1:18" ht="18" customHeight="1" x14ac:dyDescent="0.2">
      <c r="A82" s="32">
        <v>2046</v>
      </c>
      <c r="B82" s="32" t="s">
        <v>380</v>
      </c>
      <c r="C82" s="66">
        <v>0.31</v>
      </c>
      <c r="D82" s="66">
        <v>9.0500000000000007</v>
      </c>
      <c r="E82" s="66">
        <v>33.950000000000003</v>
      </c>
      <c r="F82" s="66">
        <v>20.8</v>
      </c>
      <c r="G82" s="66">
        <v>0.49</v>
      </c>
      <c r="H82" s="66">
        <v>6.51</v>
      </c>
      <c r="I82" s="66">
        <v>3.51</v>
      </c>
      <c r="J82" s="67">
        <v>70.650000000000006</v>
      </c>
      <c r="K82" s="67">
        <v>65.98</v>
      </c>
      <c r="L82" s="67">
        <v>84.76</v>
      </c>
      <c r="M82" s="67">
        <v>86.94</v>
      </c>
      <c r="N82" s="67">
        <v>82.32</v>
      </c>
      <c r="O82" s="67">
        <v>83.78</v>
      </c>
      <c r="P82" s="67">
        <v>64.650000000000006</v>
      </c>
      <c r="Q82" s="118">
        <f t="shared" si="2"/>
        <v>67.8</v>
      </c>
      <c r="R82" s="36"/>
    </row>
    <row r="83" spans="1:18" ht="18" customHeight="1" x14ac:dyDescent="0.2">
      <c r="A83" s="32">
        <v>2046</v>
      </c>
      <c r="B83" s="32" t="s">
        <v>381</v>
      </c>
      <c r="C83" s="66">
        <v>0.31</v>
      </c>
      <c r="D83" s="66">
        <v>8.94</v>
      </c>
      <c r="E83" s="66">
        <v>33.76</v>
      </c>
      <c r="F83" s="66">
        <v>20.92</v>
      </c>
      <c r="G83" s="66">
        <v>0.49</v>
      </c>
      <c r="H83" s="66">
        <v>6.36</v>
      </c>
      <c r="I83" s="66">
        <v>3.45</v>
      </c>
      <c r="J83" s="67">
        <v>71.72</v>
      </c>
      <c r="K83" s="67">
        <v>67.09</v>
      </c>
      <c r="L83" s="67">
        <v>85.29</v>
      </c>
      <c r="M83" s="67">
        <v>87.45</v>
      </c>
      <c r="N83" s="67">
        <v>82.89</v>
      </c>
      <c r="O83" s="67">
        <v>84.41</v>
      </c>
      <c r="P83" s="67">
        <v>65.819999999999993</v>
      </c>
      <c r="Q83" s="119">
        <f t="shared" si="2"/>
        <v>68.5</v>
      </c>
      <c r="R83" s="36"/>
    </row>
    <row r="84" spans="1:18" ht="18" customHeight="1" x14ac:dyDescent="0.2">
      <c r="A84" s="32">
        <v>2046</v>
      </c>
      <c r="B84" s="32" t="s">
        <v>382</v>
      </c>
      <c r="C84" s="66">
        <v>0.31</v>
      </c>
      <c r="D84" s="66">
        <v>8.84</v>
      </c>
      <c r="E84" s="66">
        <v>33.57</v>
      </c>
      <c r="F84" s="66">
        <v>21.04</v>
      </c>
      <c r="G84" s="66">
        <v>0.48</v>
      </c>
      <c r="H84" s="66">
        <v>6.21</v>
      </c>
      <c r="I84" s="66">
        <v>3.4</v>
      </c>
      <c r="J84" s="67">
        <v>72.81</v>
      </c>
      <c r="K84" s="67">
        <v>68.209999999999994</v>
      </c>
      <c r="L84" s="67">
        <v>85.8</v>
      </c>
      <c r="M84" s="67">
        <v>87.94</v>
      </c>
      <c r="N84" s="67">
        <v>83.44</v>
      </c>
      <c r="O84" s="67">
        <v>85.01</v>
      </c>
      <c r="P84" s="67">
        <v>67.010000000000005</v>
      </c>
      <c r="Q84" s="120">
        <f t="shared" si="2"/>
        <v>69.2</v>
      </c>
      <c r="R84" s="36"/>
    </row>
    <row r="85" spans="1:18" ht="45" customHeight="1" x14ac:dyDescent="0.2">
      <c r="A85" s="32">
        <v>2047</v>
      </c>
      <c r="B85" s="32" t="s">
        <v>383</v>
      </c>
      <c r="C85" s="66">
        <v>0.3</v>
      </c>
      <c r="D85" s="66">
        <v>8.74</v>
      </c>
      <c r="E85" s="66">
        <v>33.39</v>
      </c>
      <c r="F85" s="66">
        <v>21.15</v>
      </c>
      <c r="G85" s="66">
        <v>0.48</v>
      </c>
      <c r="H85" s="66">
        <v>6.07</v>
      </c>
      <c r="I85" s="66">
        <v>3.35</v>
      </c>
      <c r="J85" s="67">
        <v>73.91</v>
      </c>
      <c r="K85" s="67">
        <v>69.34</v>
      </c>
      <c r="L85" s="67">
        <v>86.28</v>
      </c>
      <c r="M85" s="67">
        <v>88.4</v>
      </c>
      <c r="N85" s="67">
        <v>83.96</v>
      </c>
      <c r="O85" s="67">
        <v>85.58</v>
      </c>
      <c r="P85" s="67">
        <v>68.209999999999994</v>
      </c>
      <c r="Q85" s="121">
        <f t="shared" si="2"/>
        <v>69.900000000000006</v>
      </c>
      <c r="R85" s="36" t="s">
        <v>404</v>
      </c>
    </row>
    <row r="86" spans="1:18" ht="18" customHeight="1" x14ac:dyDescent="0.2">
      <c r="A86" s="32">
        <v>2047</v>
      </c>
      <c r="B86" s="32" t="s">
        <v>380</v>
      </c>
      <c r="C86" s="66">
        <v>0.3</v>
      </c>
      <c r="D86" s="66">
        <v>8.65</v>
      </c>
      <c r="E86" s="66">
        <v>33.22</v>
      </c>
      <c r="F86" s="66">
        <v>21.25</v>
      </c>
      <c r="G86" s="66">
        <v>0.47</v>
      </c>
      <c r="H86" s="66">
        <v>5.94</v>
      </c>
      <c r="I86" s="66">
        <v>3.31</v>
      </c>
      <c r="J86" s="67">
        <v>75.02</v>
      </c>
      <c r="K86" s="67">
        <v>70.489999999999995</v>
      </c>
      <c r="L86" s="67">
        <v>86.73</v>
      </c>
      <c r="M86" s="67">
        <v>88.84</v>
      </c>
      <c r="N86" s="67">
        <v>84.45</v>
      </c>
      <c r="O86" s="67">
        <v>86.12</v>
      </c>
      <c r="P86" s="67">
        <v>69.430000000000007</v>
      </c>
      <c r="Q86" s="122">
        <f t="shared" si="2"/>
        <v>70.5</v>
      </c>
      <c r="R86" s="36"/>
    </row>
    <row r="87" spans="1:18" ht="18" customHeight="1" x14ac:dyDescent="0.2">
      <c r="A87" s="32">
        <v>2047</v>
      </c>
      <c r="B87" s="32" t="s">
        <v>381</v>
      </c>
      <c r="C87" s="66">
        <v>0.3</v>
      </c>
      <c r="D87" s="66">
        <v>8.57</v>
      </c>
      <c r="E87" s="66">
        <v>33.06</v>
      </c>
      <c r="F87" s="66">
        <v>21.35</v>
      </c>
      <c r="G87" s="66">
        <v>0.47</v>
      </c>
      <c r="H87" s="66">
        <v>5.82</v>
      </c>
      <c r="I87" s="66">
        <v>3.26</v>
      </c>
      <c r="J87" s="67">
        <v>76.150000000000006</v>
      </c>
      <c r="K87" s="67">
        <v>71.650000000000006</v>
      </c>
      <c r="L87" s="67">
        <v>87.16</v>
      </c>
      <c r="M87" s="67">
        <v>89.26</v>
      </c>
      <c r="N87" s="67">
        <v>84.92</v>
      </c>
      <c r="O87" s="67">
        <v>86.63</v>
      </c>
      <c r="P87" s="67">
        <v>70.66</v>
      </c>
      <c r="Q87" s="123">
        <f t="shared" si="2"/>
        <v>71.2</v>
      </c>
      <c r="R87" s="36"/>
    </row>
    <row r="88" spans="1:18" ht="18" customHeight="1" x14ac:dyDescent="0.2">
      <c r="A88" s="32">
        <v>2047</v>
      </c>
      <c r="B88" s="32" t="s">
        <v>382</v>
      </c>
      <c r="C88" s="66">
        <v>0.3</v>
      </c>
      <c r="D88" s="66">
        <v>8.49</v>
      </c>
      <c r="E88" s="66">
        <v>32.909999999999997</v>
      </c>
      <c r="F88" s="66">
        <v>21.44</v>
      </c>
      <c r="G88" s="66">
        <v>0.47</v>
      </c>
      <c r="H88" s="66">
        <v>5.7</v>
      </c>
      <c r="I88" s="66">
        <v>3.22</v>
      </c>
      <c r="J88" s="67">
        <v>77.290000000000006</v>
      </c>
      <c r="K88" s="67">
        <v>72.83</v>
      </c>
      <c r="L88" s="67">
        <v>87.56</v>
      </c>
      <c r="M88" s="67">
        <v>89.65</v>
      </c>
      <c r="N88" s="67">
        <v>85.36</v>
      </c>
      <c r="O88" s="67">
        <v>87.11</v>
      </c>
      <c r="P88" s="67">
        <v>71.91</v>
      </c>
      <c r="Q88" s="124">
        <f t="shared" si="2"/>
        <v>71.900000000000006</v>
      </c>
      <c r="R88" s="36"/>
    </row>
    <row r="89" spans="1:18" ht="45" customHeight="1" x14ac:dyDescent="0.2">
      <c r="A89" s="32">
        <v>2048</v>
      </c>
      <c r="B89" s="32" t="s">
        <v>383</v>
      </c>
      <c r="C89" s="66">
        <v>0.28999999999999998</v>
      </c>
      <c r="D89" s="66">
        <v>8.41</v>
      </c>
      <c r="E89" s="66">
        <v>32.770000000000003</v>
      </c>
      <c r="F89" s="66">
        <v>21.53</v>
      </c>
      <c r="G89" s="66">
        <v>0.47</v>
      </c>
      <c r="H89" s="66">
        <v>5.59</v>
      </c>
      <c r="I89" s="66">
        <v>3.19</v>
      </c>
      <c r="J89" s="67">
        <v>78.44</v>
      </c>
      <c r="K89" s="67">
        <v>74.02</v>
      </c>
      <c r="L89" s="67">
        <v>87.94</v>
      </c>
      <c r="M89" s="67">
        <v>90.01</v>
      </c>
      <c r="N89" s="67">
        <v>85.76</v>
      </c>
      <c r="O89" s="67">
        <v>87.55</v>
      </c>
      <c r="P89" s="67">
        <v>73.17</v>
      </c>
      <c r="Q89" s="125">
        <f t="shared" si="2"/>
        <v>72.5</v>
      </c>
      <c r="R89" s="36" t="s">
        <v>405</v>
      </c>
    </row>
    <row r="90" spans="1:18" ht="18" customHeight="1" x14ac:dyDescent="0.2">
      <c r="A90" s="32">
        <v>2048</v>
      </c>
      <c r="B90" s="32" t="s">
        <v>380</v>
      </c>
      <c r="C90" s="66">
        <v>0.28999999999999998</v>
      </c>
      <c r="D90" s="66">
        <v>8.34</v>
      </c>
      <c r="E90" s="66">
        <v>32.64</v>
      </c>
      <c r="F90" s="66">
        <v>21.61</v>
      </c>
      <c r="G90" s="66">
        <v>0.46</v>
      </c>
      <c r="H90" s="66">
        <v>5.49</v>
      </c>
      <c r="I90" s="66">
        <v>3.16</v>
      </c>
      <c r="J90" s="67">
        <v>79.61</v>
      </c>
      <c r="K90" s="67">
        <v>75.22</v>
      </c>
      <c r="L90" s="67">
        <v>88.28</v>
      </c>
      <c r="M90" s="67">
        <v>90.34</v>
      </c>
      <c r="N90" s="67">
        <v>86.14</v>
      </c>
      <c r="O90" s="67">
        <v>87.96</v>
      </c>
      <c r="P90" s="67">
        <v>74.44</v>
      </c>
      <c r="Q90" s="126">
        <f t="shared" si="2"/>
        <v>73.099999999999994</v>
      </c>
      <c r="R90" s="36"/>
    </row>
    <row r="91" spans="1:18" ht="18" customHeight="1" x14ac:dyDescent="0.2">
      <c r="A91" s="32">
        <v>2048</v>
      </c>
      <c r="B91" s="32" t="s">
        <v>381</v>
      </c>
      <c r="C91" s="66">
        <v>0.28999999999999998</v>
      </c>
      <c r="D91" s="66">
        <v>8.2799999999999994</v>
      </c>
      <c r="E91" s="66">
        <v>32.520000000000003</v>
      </c>
      <c r="F91" s="66">
        <v>21.68</v>
      </c>
      <c r="G91" s="66">
        <v>0.46</v>
      </c>
      <c r="H91" s="66">
        <v>5.4</v>
      </c>
      <c r="I91" s="66">
        <v>3.13</v>
      </c>
      <c r="J91" s="67">
        <v>80.78</v>
      </c>
      <c r="K91" s="67">
        <v>76.430000000000007</v>
      </c>
      <c r="L91" s="67">
        <v>88.6</v>
      </c>
      <c r="M91" s="67">
        <v>90.65</v>
      </c>
      <c r="N91" s="67">
        <v>86.48</v>
      </c>
      <c r="O91" s="67">
        <v>88.34</v>
      </c>
      <c r="P91" s="67">
        <v>75.73</v>
      </c>
      <c r="Q91" s="127">
        <f t="shared" si="2"/>
        <v>73.8</v>
      </c>
      <c r="R91" s="36"/>
    </row>
    <row r="92" spans="1:18" ht="18" customHeight="1" x14ac:dyDescent="0.2">
      <c r="A92" s="32">
        <v>2048</v>
      </c>
      <c r="B92" s="32" t="s">
        <v>382</v>
      </c>
      <c r="C92" s="66">
        <v>0.28999999999999998</v>
      </c>
      <c r="D92" s="66">
        <v>8.2200000000000006</v>
      </c>
      <c r="E92" s="66">
        <v>32.42</v>
      </c>
      <c r="F92" s="66">
        <v>21.74</v>
      </c>
      <c r="G92" s="66">
        <v>0.46</v>
      </c>
      <c r="H92" s="66">
        <v>5.32</v>
      </c>
      <c r="I92" s="66">
        <v>3.1</v>
      </c>
      <c r="J92" s="67">
        <v>81.98</v>
      </c>
      <c r="K92" s="67">
        <v>77.66</v>
      </c>
      <c r="L92" s="67">
        <v>88.88</v>
      </c>
      <c r="M92" s="67">
        <v>90.92</v>
      </c>
      <c r="N92" s="67">
        <v>86.79</v>
      </c>
      <c r="O92" s="67">
        <v>88.68</v>
      </c>
      <c r="P92" s="67">
        <v>77.040000000000006</v>
      </c>
      <c r="Q92" s="128">
        <f t="shared" si="2"/>
        <v>74.400000000000006</v>
      </c>
      <c r="R92" s="36"/>
    </row>
    <row r="93" spans="1:18" ht="45" customHeight="1" x14ac:dyDescent="0.2">
      <c r="A93" s="32">
        <v>2049</v>
      </c>
      <c r="B93" s="32" t="s">
        <v>383</v>
      </c>
      <c r="C93" s="66">
        <v>0.28999999999999998</v>
      </c>
      <c r="D93" s="66">
        <v>8.17</v>
      </c>
      <c r="E93" s="66">
        <v>32.32</v>
      </c>
      <c r="F93" s="66">
        <v>21.8</v>
      </c>
      <c r="G93" s="66">
        <v>0.46</v>
      </c>
      <c r="H93" s="66">
        <v>5.25</v>
      </c>
      <c r="I93" s="66">
        <v>3.08</v>
      </c>
      <c r="J93" s="67">
        <v>83.18</v>
      </c>
      <c r="K93" s="67">
        <v>78.91</v>
      </c>
      <c r="L93" s="67">
        <v>89.14</v>
      </c>
      <c r="M93" s="67">
        <v>91.17</v>
      </c>
      <c r="N93" s="67">
        <v>87.07</v>
      </c>
      <c r="O93" s="67">
        <v>88.98</v>
      </c>
      <c r="P93" s="67">
        <v>78.36</v>
      </c>
      <c r="Q93" s="129">
        <f t="shared" si="2"/>
        <v>75</v>
      </c>
      <c r="R93" s="36" t="s">
        <v>406</v>
      </c>
    </row>
    <row r="94" spans="1:18" ht="18" customHeight="1" x14ac:dyDescent="0.2">
      <c r="A94" s="32">
        <v>2049</v>
      </c>
      <c r="B94" s="32" t="s">
        <v>380</v>
      </c>
      <c r="C94" s="66">
        <v>0.28000000000000003</v>
      </c>
      <c r="D94" s="66">
        <v>8.1300000000000008</v>
      </c>
      <c r="E94" s="66">
        <v>32.24</v>
      </c>
      <c r="F94" s="66">
        <v>21.85</v>
      </c>
      <c r="G94" s="66">
        <v>0.45</v>
      </c>
      <c r="H94" s="66">
        <v>5.18</v>
      </c>
      <c r="I94" s="66">
        <v>3.06</v>
      </c>
      <c r="J94" s="67">
        <v>84.4</v>
      </c>
      <c r="K94" s="67">
        <v>80.17</v>
      </c>
      <c r="L94" s="67">
        <v>89.36</v>
      </c>
      <c r="M94" s="67">
        <v>91.39</v>
      </c>
      <c r="N94" s="67">
        <v>87.31</v>
      </c>
      <c r="O94" s="67">
        <v>89.24</v>
      </c>
      <c r="P94" s="67">
        <v>79.69</v>
      </c>
      <c r="Q94" s="130">
        <f t="shared" si="2"/>
        <v>75.599999999999994</v>
      </c>
      <c r="R94" s="36"/>
    </row>
    <row r="95" spans="1:18" ht="18" customHeight="1" x14ac:dyDescent="0.2">
      <c r="A95" s="32">
        <v>2049</v>
      </c>
      <c r="B95" s="32" t="s">
        <v>381</v>
      </c>
      <c r="C95" s="66">
        <v>0.28000000000000003</v>
      </c>
      <c r="D95" s="66">
        <v>8.09</v>
      </c>
      <c r="E95" s="66">
        <v>32.17</v>
      </c>
      <c r="F95" s="66">
        <v>21.9</v>
      </c>
      <c r="G95" s="66">
        <v>0.45</v>
      </c>
      <c r="H95" s="66">
        <v>5.13</v>
      </c>
      <c r="I95" s="66">
        <v>3.04</v>
      </c>
      <c r="J95" s="67">
        <v>85.64</v>
      </c>
      <c r="K95" s="67">
        <v>81.44</v>
      </c>
      <c r="L95" s="67">
        <v>89.55</v>
      </c>
      <c r="M95" s="67">
        <v>91.57</v>
      </c>
      <c r="N95" s="67">
        <v>87.52</v>
      </c>
      <c r="O95" s="67">
        <v>89.47</v>
      </c>
      <c r="P95" s="67">
        <v>81.040000000000006</v>
      </c>
      <c r="Q95" s="131">
        <f t="shared" si="2"/>
        <v>76.2</v>
      </c>
      <c r="R95" s="36"/>
    </row>
    <row r="96" spans="1:18" ht="18" customHeight="1" x14ac:dyDescent="0.2">
      <c r="A96" s="32">
        <v>2049</v>
      </c>
      <c r="B96" s="32" t="s">
        <v>382</v>
      </c>
      <c r="C96" s="66">
        <v>0.28000000000000003</v>
      </c>
      <c r="D96" s="66">
        <v>8.06</v>
      </c>
      <c r="E96" s="66">
        <v>32.11</v>
      </c>
      <c r="F96" s="66">
        <v>21.93</v>
      </c>
      <c r="G96" s="66">
        <v>0.45</v>
      </c>
      <c r="H96" s="66">
        <v>5.08</v>
      </c>
      <c r="I96" s="66">
        <v>3.02</v>
      </c>
      <c r="J96" s="67">
        <v>86.88</v>
      </c>
      <c r="K96" s="67">
        <v>82.72</v>
      </c>
      <c r="L96" s="67">
        <v>89.71</v>
      </c>
      <c r="M96" s="67">
        <v>91.72</v>
      </c>
      <c r="N96" s="67">
        <v>87.69</v>
      </c>
      <c r="O96" s="67">
        <v>89.66</v>
      </c>
      <c r="P96" s="67">
        <v>82.4</v>
      </c>
      <c r="Q96" s="132">
        <f t="shared" si="2"/>
        <v>76.7</v>
      </c>
      <c r="R96" s="36"/>
    </row>
    <row r="97" spans="1:18" ht="45" customHeight="1" x14ac:dyDescent="0.2">
      <c r="A97" s="32">
        <v>2050</v>
      </c>
      <c r="B97" s="32" t="s">
        <v>383</v>
      </c>
      <c r="C97" s="66">
        <v>0.28000000000000003</v>
      </c>
      <c r="D97" s="66">
        <v>8.0299999999999994</v>
      </c>
      <c r="E97" s="66">
        <v>32.06</v>
      </c>
      <c r="F97" s="66">
        <v>21.96</v>
      </c>
      <c r="G97" s="66">
        <v>0.45</v>
      </c>
      <c r="H97" s="66">
        <v>5.05</v>
      </c>
      <c r="I97" s="66">
        <v>3.01</v>
      </c>
      <c r="J97" s="67">
        <v>88.14</v>
      </c>
      <c r="K97" s="67">
        <v>84.02</v>
      </c>
      <c r="L97" s="67">
        <v>89.84</v>
      </c>
      <c r="M97" s="67">
        <v>91.84</v>
      </c>
      <c r="N97" s="67">
        <v>87.82</v>
      </c>
      <c r="O97" s="67">
        <v>89.81</v>
      </c>
      <c r="P97" s="67">
        <v>83.78</v>
      </c>
      <c r="Q97" s="133">
        <f t="shared" si="2"/>
        <v>77.3</v>
      </c>
      <c r="R97" s="36" t="s">
        <v>407</v>
      </c>
    </row>
    <row r="98" spans="1:18" ht="18" customHeight="1" x14ac:dyDescent="0.2">
      <c r="A98" s="32">
        <v>2050</v>
      </c>
      <c r="B98" s="32" t="s">
        <v>380</v>
      </c>
      <c r="C98" s="66">
        <v>0.28000000000000003</v>
      </c>
      <c r="D98" s="66">
        <v>8.01</v>
      </c>
      <c r="E98" s="66">
        <v>32.03</v>
      </c>
      <c r="F98" s="66">
        <v>21.98</v>
      </c>
      <c r="G98" s="66">
        <v>0.45</v>
      </c>
      <c r="H98" s="66">
        <v>5.0199999999999996</v>
      </c>
      <c r="I98" s="66">
        <v>3.01</v>
      </c>
      <c r="J98" s="67">
        <v>89.41</v>
      </c>
      <c r="K98" s="67">
        <v>85.33</v>
      </c>
      <c r="L98" s="67">
        <v>89.93</v>
      </c>
      <c r="M98" s="67">
        <v>91.93</v>
      </c>
      <c r="N98" s="67">
        <v>87.92</v>
      </c>
      <c r="O98" s="67">
        <v>89.91</v>
      </c>
      <c r="P98" s="67">
        <v>85.17</v>
      </c>
      <c r="Q98" s="134">
        <f t="shared" ref="Q98:Q117" si="3">ROUND(AVERAGE(I98:P98),1)</f>
        <v>77.8</v>
      </c>
      <c r="R98" s="36"/>
    </row>
    <row r="99" spans="1:18" ht="18" customHeight="1" x14ac:dyDescent="0.2">
      <c r="A99" s="32">
        <v>2050</v>
      </c>
      <c r="B99" s="32" t="s">
        <v>381</v>
      </c>
      <c r="C99" s="66">
        <v>0.28000000000000003</v>
      </c>
      <c r="D99" s="66">
        <v>8</v>
      </c>
      <c r="E99" s="66">
        <v>32.01</v>
      </c>
      <c r="F99" s="66">
        <v>22</v>
      </c>
      <c r="G99" s="66">
        <v>0.45</v>
      </c>
      <c r="H99" s="66">
        <v>5.01</v>
      </c>
      <c r="I99" s="66">
        <v>3</v>
      </c>
      <c r="J99" s="67">
        <v>90.7</v>
      </c>
      <c r="K99" s="67">
        <v>86.66</v>
      </c>
      <c r="L99" s="67">
        <v>89.98</v>
      </c>
      <c r="M99" s="67">
        <v>91.98</v>
      </c>
      <c r="N99" s="67">
        <v>87.98</v>
      </c>
      <c r="O99" s="67">
        <v>89.98</v>
      </c>
      <c r="P99" s="67">
        <v>86.58</v>
      </c>
      <c r="Q99" s="135">
        <f t="shared" si="3"/>
        <v>78.400000000000006</v>
      </c>
      <c r="R99" s="36"/>
    </row>
    <row r="100" spans="1:18" ht="18" customHeight="1" x14ac:dyDescent="0.2">
      <c r="A100" s="32">
        <v>2050</v>
      </c>
      <c r="B100" s="32" t="s">
        <v>382</v>
      </c>
      <c r="C100" s="66">
        <v>0.28000000000000003</v>
      </c>
      <c r="D100" s="66">
        <v>8</v>
      </c>
      <c r="E100" s="66">
        <v>32</v>
      </c>
      <c r="F100" s="66">
        <v>22</v>
      </c>
      <c r="G100" s="66">
        <v>0.45</v>
      </c>
      <c r="H100" s="66">
        <v>5</v>
      </c>
      <c r="I100" s="66">
        <v>3</v>
      </c>
      <c r="J100" s="67">
        <v>92</v>
      </c>
      <c r="K100" s="67">
        <v>88</v>
      </c>
      <c r="L100" s="67">
        <v>90</v>
      </c>
      <c r="M100" s="67">
        <v>92</v>
      </c>
      <c r="N100" s="67">
        <v>88</v>
      </c>
      <c r="O100" s="67">
        <v>90</v>
      </c>
      <c r="P100" s="67">
        <v>88</v>
      </c>
      <c r="Q100" s="142">
        <f t="shared" si="3"/>
        <v>78.900000000000006</v>
      </c>
      <c r="R100" s="36"/>
    </row>
    <row r="101" spans="1:18" ht="35" customHeight="1" x14ac:dyDescent="0.2">
      <c r="A101" s="32">
        <v>2051</v>
      </c>
      <c r="B101" s="32" t="s">
        <v>383</v>
      </c>
      <c r="C101" s="66">
        <v>0.28000000000000003</v>
      </c>
      <c r="D101" s="66">
        <v>7.99</v>
      </c>
      <c r="E101" s="66">
        <v>31.99</v>
      </c>
      <c r="F101" s="66">
        <v>22.01</v>
      </c>
      <c r="G101" s="66">
        <v>0.45</v>
      </c>
      <c r="H101" s="66">
        <v>4.99</v>
      </c>
      <c r="I101" s="66">
        <v>2.77</v>
      </c>
      <c r="J101" s="67">
        <v>92</v>
      </c>
      <c r="K101" s="67">
        <v>88</v>
      </c>
      <c r="L101" s="67">
        <v>90</v>
      </c>
      <c r="M101" s="67">
        <v>92</v>
      </c>
      <c r="N101" s="67">
        <v>88</v>
      </c>
      <c r="O101" s="67">
        <v>90</v>
      </c>
      <c r="P101" s="67">
        <v>88</v>
      </c>
      <c r="Q101" s="142">
        <f t="shared" si="3"/>
        <v>78.8</v>
      </c>
      <c r="R101" s="36" t="s">
        <v>430</v>
      </c>
    </row>
    <row r="102" spans="1:18" ht="18" customHeight="1" x14ac:dyDescent="0.2">
      <c r="A102" s="32">
        <v>2051</v>
      </c>
      <c r="B102" s="32" t="s">
        <v>380</v>
      </c>
      <c r="C102" s="66">
        <v>0.28000000000000003</v>
      </c>
      <c r="D102" s="66">
        <v>7.98</v>
      </c>
      <c r="E102" s="66">
        <v>31.94</v>
      </c>
      <c r="F102" s="66">
        <v>22.06</v>
      </c>
      <c r="G102" s="66">
        <v>0.45</v>
      </c>
      <c r="H102" s="66">
        <v>4.9800000000000004</v>
      </c>
      <c r="I102" s="66">
        <v>2.56</v>
      </c>
      <c r="J102" s="67">
        <v>92.1</v>
      </c>
      <c r="K102" s="67">
        <v>88.1</v>
      </c>
      <c r="L102" s="67">
        <v>90.1</v>
      </c>
      <c r="M102" s="67">
        <v>92.1</v>
      </c>
      <c r="N102" s="67">
        <v>88.1</v>
      </c>
      <c r="O102" s="67">
        <v>90.1</v>
      </c>
      <c r="P102" s="67">
        <v>88.1</v>
      </c>
      <c r="Q102" s="142">
        <f t="shared" si="3"/>
        <v>78.900000000000006</v>
      </c>
      <c r="R102" s="36"/>
    </row>
    <row r="103" spans="1:18" ht="18" customHeight="1" x14ac:dyDescent="0.2">
      <c r="A103" s="32">
        <v>2051</v>
      </c>
      <c r="B103" s="32" t="s">
        <v>381</v>
      </c>
      <c r="C103" s="66">
        <v>0.28000000000000003</v>
      </c>
      <c r="D103" s="66">
        <v>7.95</v>
      </c>
      <c r="E103" s="66">
        <v>31.88</v>
      </c>
      <c r="F103" s="66">
        <v>22.12</v>
      </c>
      <c r="G103" s="66">
        <v>0.45</v>
      </c>
      <c r="H103" s="66">
        <v>4.95</v>
      </c>
      <c r="I103" s="66">
        <v>2.36</v>
      </c>
      <c r="J103" s="67">
        <v>92.2</v>
      </c>
      <c r="K103" s="67">
        <v>88.2</v>
      </c>
      <c r="L103" s="67">
        <v>90.2</v>
      </c>
      <c r="M103" s="67">
        <v>92.2</v>
      </c>
      <c r="N103" s="67">
        <v>88.2</v>
      </c>
      <c r="O103" s="67">
        <v>90.2</v>
      </c>
      <c r="P103" s="67">
        <v>88.2</v>
      </c>
      <c r="Q103" s="142">
        <f t="shared" si="3"/>
        <v>79</v>
      </c>
      <c r="R103" s="36"/>
    </row>
    <row r="104" spans="1:18" ht="18" customHeight="1" x14ac:dyDescent="0.2">
      <c r="A104" s="32">
        <v>2051</v>
      </c>
      <c r="B104" s="32" t="s">
        <v>382</v>
      </c>
      <c r="C104" s="66">
        <v>0.28000000000000003</v>
      </c>
      <c r="D104" s="66">
        <v>7.92</v>
      </c>
      <c r="E104" s="66">
        <v>31.78</v>
      </c>
      <c r="F104" s="66">
        <v>22.22</v>
      </c>
      <c r="G104" s="66">
        <v>0.45</v>
      </c>
      <c r="H104" s="66">
        <v>4.92</v>
      </c>
      <c r="I104" s="66">
        <v>2.17</v>
      </c>
      <c r="J104" s="67">
        <v>92.3</v>
      </c>
      <c r="K104" s="67">
        <v>88.4</v>
      </c>
      <c r="L104" s="67">
        <v>90.3</v>
      </c>
      <c r="M104" s="67">
        <v>92.3</v>
      </c>
      <c r="N104" s="67">
        <v>88.4</v>
      </c>
      <c r="O104" s="67">
        <v>90.3</v>
      </c>
      <c r="P104" s="67">
        <v>88.4</v>
      </c>
      <c r="Q104" s="142">
        <f t="shared" si="3"/>
        <v>79.099999999999994</v>
      </c>
      <c r="R104" s="36"/>
    </row>
    <row r="105" spans="1:18" ht="35" customHeight="1" x14ac:dyDescent="0.2">
      <c r="A105" s="32">
        <v>2052</v>
      </c>
      <c r="B105" s="32" t="s">
        <v>383</v>
      </c>
      <c r="C105" s="66">
        <v>0.28000000000000003</v>
      </c>
      <c r="D105" s="66">
        <v>7.87</v>
      </c>
      <c r="E105" s="66">
        <v>31.65</v>
      </c>
      <c r="F105" s="66">
        <v>22.35</v>
      </c>
      <c r="G105" s="66">
        <v>0.44</v>
      </c>
      <c r="H105" s="66">
        <v>4.87</v>
      </c>
      <c r="I105" s="66">
        <v>2</v>
      </c>
      <c r="J105" s="67">
        <v>92.5</v>
      </c>
      <c r="K105" s="67">
        <v>88.7</v>
      </c>
      <c r="L105" s="67">
        <v>90.5</v>
      </c>
      <c r="M105" s="67">
        <v>92.4</v>
      </c>
      <c r="N105" s="67">
        <v>88.6</v>
      </c>
      <c r="O105" s="67">
        <v>90.5</v>
      </c>
      <c r="P105" s="67">
        <v>88.6</v>
      </c>
      <c r="Q105" s="142">
        <f t="shared" si="3"/>
        <v>79.2</v>
      </c>
      <c r="R105" s="36" t="s">
        <v>431</v>
      </c>
    </row>
    <row r="106" spans="1:18" ht="18" customHeight="1" x14ac:dyDescent="0.2">
      <c r="A106" s="32">
        <v>2052</v>
      </c>
      <c r="B106" s="32" t="s">
        <v>380</v>
      </c>
      <c r="C106" s="66">
        <v>0.28000000000000003</v>
      </c>
      <c r="D106" s="66">
        <v>7.81</v>
      </c>
      <c r="E106" s="66">
        <v>31.5</v>
      </c>
      <c r="F106" s="66">
        <v>22.5</v>
      </c>
      <c r="G106" s="66">
        <v>0.44</v>
      </c>
      <c r="H106" s="66">
        <v>4.8099999999999996</v>
      </c>
      <c r="I106" s="66">
        <v>1.84</v>
      </c>
      <c r="J106" s="67">
        <v>92.8</v>
      </c>
      <c r="K106" s="67">
        <v>89</v>
      </c>
      <c r="L106" s="67">
        <v>90.8</v>
      </c>
      <c r="M106" s="67">
        <v>92.6</v>
      </c>
      <c r="N106" s="67">
        <v>88.9</v>
      </c>
      <c r="O106" s="67">
        <v>90.8</v>
      </c>
      <c r="P106" s="67">
        <v>88.9</v>
      </c>
      <c r="Q106" s="142">
        <f t="shared" si="3"/>
        <v>79.5</v>
      </c>
      <c r="R106" s="36"/>
    </row>
    <row r="107" spans="1:18" ht="18" customHeight="1" x14ac:dyDescent="0.2">
      <c r="A107" s="32">
        <v>2052</v>
      </c>
      <c r="B107" s="32" t="s">
        <v>381</v>
      </c>
      <c r="C107" s="66">
        <v>0.27</v>
      </c>
      <c r="D107" s="66">
        <v>7.75</v>
      </c>
      <c r="E107" s="66">
        <v>31.32</v>
      </c>
      <c r="F107" s="66">
        <v>22.68</v>
      </c>
      <c r="G107" s="66">
        <v>0.44</v>
      </c>
      <c r="H107" s="66">
        <v>4.75</v>
      </c>
      <c r="I107" s="66">
        <v>1.69</v>
      </c>
      <c r="J107" s="67">
        <v>93</v>
      </c>
      <c r="K107" s="67">
        <v>89.4</v>
      </c>
      <c r="L107" s="67">
        <v>91</v>
      </c>
      <c r="M107" s="67">
        <v>92.8</v>
      </c>
      <c r="N107" s="67">
        <v>89.2</v>
      </c>
      <c r="O107" s="67">
        <v>91</v>
      </c>
      <c r="P107" s="67">
        <v>89.2</v>
      </c>
      <c r="Q107" s="142">
        <f t="shared" si="3"/>
        <v>79.7</v>
      </c>
      <c r="R107" s="36"/>
    </row>
    <row r="108" spans="1:18" ht="18" customHeight="1" x14ac:dyDescent="0.2">
      <c r="A108" s="32">
        <v>2052</v>
      </c>
      <c r="B108" s="32" t="s">
        <v>382</v>
      </c>
      <c r="C108" s="66">
        <v>0.27</v>
      </c>
      <c r="D108" s="66">
        <v>7.67</v>
      </c>
      <c r="E108" s="66">
        <v>31.11</v>
      </c>
      <c r="F108" s="66">
        <v>22.89</v>
      </c>
      <c r="G108" s="66">
        <v>0.43</v>
      </c>
      <c r="H108" s="66">
        <v>4.67</v>
      </c>
      <c r="I108" s="66">
        <v>1.56</v>
      </c>
      <c r="J108" s="67">
        <v>93.3</v>
      </c>
      <c r="K108" s="67">
        <v>89.8</v>
      </c>
      <c r="L108" s="67">
        <v>91.3</v>
      </c>
      <c r="M108" s="67">
        <v>93.1</v>
      </c>
      <c r="N108" s="67">
        <v>89.5</v>
      </c>
      <c r="O108" s="67">
        <v>91.3</v>
      </c>
      <c r="P108" s="67">
        <v>89.5</v>
      </c>
      <c r="Q108" s="142">
        <f t="shared" si="3"/>
        <v>79.900000000000006</v>
      </c>
      <c r="R108" s="36"/>
    </row>
    <row r="109" spans="1:18" ht="35" customHeight="1" x14ac:dyDescent="0.2">
      <c r="A109" s="32">
        <v>2053</v>
      </c>
      <c r="B109" s="32" t="s">
        <v>383</v>
      </c>
      <c r="C109" s="66">
        <v>0.27</v>
      </c>
      <c r="D109" s="66">
        <v>7.58</v>
      </c>
      <c r="E109" s="66">
        <v>30.88</v>
      </c>
      <c r="F109" s="66">
        <v>23.12</v>
      </c>
      <c r="G109" s="66">
        <v>0.43</v>
      </c>
      <c r="H109" s="66">
        <v>4.58</v>
      </c>
      <c r="I109" s="66">
        <v>1.44</v>
      </c>
      <c r="J109" s="67">
        <v>93.7</v>
      </c>
      <c r="K109" s="67">
        <v>90.2</v>
      </c>
      <c r="L109" s="67">
        <v>91.7</v>
      </c>
      <c r="M109" s="67">
        <v>93.4</v>
      </c>
      <c r="N109" s="67">
        <v>90</v>
      </c>
      <c r="O109" s="67">
        <v>91.7</v>
      </c>
      <c r="P109" s="67">
        <v>90</v>
      </c>
      <c r="Q109" s="142">
        <f t="shared" si="3"/>
        <v>80.3</v>
      </c>
      <c r="R109" s="36" t="s">
        <v>432</v>
      </c>
    </row>
    <row r="110" spans="1:18" ht="18" customHeight="1" x14ac:dyDescent="0.2">
      <c r="A110" s="32">
        <v>2053</v>
      </c>
      <c r="B110" s="32" t="s">
        <v>380</v>
      </c>
      <c r="C110" s="66">
        <v>0.27</v>
      </c>
      <c r="D110" s="66">
        <v>7.48</v>
      </c>
      <c r="E110" s="66">
        <v>30.62</v>
      </c>
      <c r="F110" s="66">
        <v>23.38</v>
      </c>
      <c r="G110" s="66">
        <v>0.43</v>
      </c>
      <c r="H110" s="66">
        <v>4.4800000000000004</v>
      </c>
      <c r="I110" s="66">
        <v>1.34</v>
      </c>
      <c r="J110" s="67">
        <v>94.1</v>
      </c>
      <c r="K110" s="67">
        <v>90.8</v>
      </c>
      <c r="L110" s="67">
        <v>92.1</v>
      </c>
      <c r="M110" s="67">
        <v>93.7</v>
      </c>
      <c r="N110" s="67">
        <v>90.4</v>
      </c>
      <c r="O110" s="67">
        <v>92.1</v>
      </c>
      <c r="P110" s="67">
        <v>90.4</v>
      </c>
      <c r="Q110" s="142">
        <f t="shared" si="3"/>
        <v>80.599999999999994</v>
      </c>
      <c r="R110" s="36"/>
    </row>
    <row r="111" spans="1:18" ht="18" customHeight="1" x14ac:dyDescent="0.2">
      <c r="A111" s="32">
        <v>2053</v>
      </c>
      <c r="B111" s="32" t="s">
        <v>381</v>
      </c>
      <c r="C111" s="66">
        <v>0.26</v>
      </c>
      <c r="D111" s="66">
        <v>7.37</v>
      </c>
      <c r="E111" s="66">
        <v>30.33</v>
      </c>
      <c r="F111" s="66">
        <v>23.67</v>
      </c>
      <c r="G111" s="66">
        <v>0.42</v>
      </c>
      <c r="H111" s="66">
        <v>4.37</v>
      </c>
      <c r="I111" s="66">
        <v>1.25</v>
      </c>
      <c r="J111" s="67">
        <v>94.5</v>
      </c>
      <c r="K111" s="67">
        <v>91.3</v>
      </c>
      <c r="L111" s="67">
        <v>92.5</v>
      </c>
      <c r="M111" s="67">
        <v>94.1</v>
      </c>
      <c r="N111" s="67">
        <v>90.9</v>
      </c>
      <c r="O111" s="67">
        <v>92.5</v>
      </c>
      <c r="P111" s="67">
        <v>90.9</v>
      </c>
      <c r="Q111" s="142">
        <f t="shared" si="3"/>
        <v>81</v>
      </c>
      <c r="R111" s="36"/>
    </row>
    <row r="112" spans="1:18" ht="18" customHeight="1" x14ac:dyDescent="0.2">
      <c r="A112" s="32">
        <v>2053</v>
      </c>
      <c r="B112" s="32" t="s">
        <v>382</v>
      </c>
      <c r="C112" s="66">
        <v>0.26</v>
      </c>
      <c r="D112" s="66">
        <v>7.25</v>
      </c>
      <c r="E112" s="66">
        <v>30.01</v>
      </c>
      <c r="F112" s="66">
        <v>23.99</v>
      </c>
      <c r="G112" s="66">
        <v>0.42</v>
      </c>
      <c r="H112" s="66">
        <v>4.25</v>
      </c>
      <c r="I112" s="66">
        <v>1.17</v>
      </c>
      <c r="J112" s="67">
        <v>95</v>
      </c>
      <c r="K112" s="67">
        <v>92</v>
      </c>
      <c r="L112" s="67">
        <v>93</v>
      </c>
      <c r="M112" s="67">
        <v>94.5</v>
      </c>
      <c r="N112" s="67">
        <v>91.5</v>
      </c>
      <c r="O112" s="67">
        <v>93</v>
      </c>
      <c r="P112" s="67">
        <v>91.5</v>
      </c>
      <c r="Q112" s="142">
        <f t="shared" si="3"/>
        <v>81.5</v>
      </c>
      <c r="R112" s="36"/>
    </row>
    <row r="113" spans="1:18" ht="35" customHeight="1" x14ac:dyDescent="0.2">
      <c r="A113" s="32">
        <v>2054</v>
      </c>
      <c r="B113" s="32" t="s">
        <v>383</v>
      </c>
      <c r="C113" s="66">
        <v>0.26</v>
      </c>
      <c r="D113" s="66">
        <v>7.12</v>
      </c>
      <c r="E113" s="66">
        <v>29.66</v>
      </c>
      <c r="F113" s="66">
        <v>24.34</v>
      </c>
      <c r="G113" s="66">
        <v>0.41</v>
      </c>
      <c r="H113" s="66">
        <v>4.12</v>
      </c>
      <c r="I113" s="66">
        <v>1.1100000000000001</v>
      </c>
      <c r="J113" s="67">
        <v>95.5</v>
      </c>
      <c r="K113" s="67">
        <v>92.7</v>
      </c>
      <c r="L113" s="67">
        <v>93.5</v>
      </c>
      <c r="M113" s="67">
        <v>94.9</v>
      </c>
      <c r="N113" s="67">
        <v>92.1</v>
      </c>
      <c r="O113" s="67">
        <v>93.5</v>
      </c>
      <c r="P113" s="67">
        <v>92.1</v>
      </c>
      <c r="Q113" s="142">
        <f t="shared" si="3"/>
        <v>81.900000000000006</v>
      </c>
      <c r="R113" s="36" t="s">
        <v>433</v>
      </c>
    </row>
    <row r="114" spans="1:18" ht="18" customHeight="1" x14ac:dyDescent="0.2">
      <c r="A114" s="32">
        <v>2054</v>
      </c>
      <c r="B114" s="32" t="s">
        <v>380</v>
      </c>
      <c r="C114" s="66">
        <v>0.25</v>
      </c>
      <c r="D114" s="66">
        <v>6.98</v>
      </c>
      <c r="E114" s="66">
        <v>29.29</v>
      </c>
      <c r="F114" s="66">
        <v>24.71</v>
      </c>
      <c r="G114" s="66">
        <v>0.4</v>
      </c>
      <c r="H114" s="66">
        <v>3.98</v>
      </c>
      <c r="I114" s="66">
        <v>1.06</v>
      </c>
      <c r="J114" s="67">
        <v>96.1</v>
      </c>
      <c r="K114" s="67">
        <v>93.4</v>
      </c>
      <c r="L114" s="67">
        <v>94.1</v>
      </c>
      <c r="M114" s="67">
        <v>95.4</v>
      </c>
      <c r="N114" s="67">
        <v>92.8</v>
      </c>
      <c r="O114" s="67">
        <v>94.1</v>
      </c>
      <c r="P114" s="67">
        <v>92.8</v>
      </c>
      <c r="Q114" s="142">
        <f t="shared" si="3"/>
        <v>82.5</v>
      </c>
      <c r="R114" s="36"/>
    </row>
    <row r="115" spans="1:18" ht="18" customHeight="1" x14ac:dyDescent="0.2">
      <c r="A115" s="32">
        <v>2054</v>
      </c>
      <c r="B115" s="32" t="s">
        <v>381</v>
      </c>
      <c r="C115" s="66">
        <v>0.25</v>
      </c>
      <c r="D115" s="66">
        <v>6.83</v>
      </c>
      <c r="E115" s="66">
        <v>28.89</v>
      </c>
      <c r="F115" s="66">
        <v>25.11</v>
      </c>
      <c r="G115" s="66">
        <v>0.4</v>
      </c>
      <c r="H115" s="66">
        <v>3.83</v>
      </c>
      <c r="I115" s="66">
        <v>1.03</v>
      </c>
      <c r="J115" s="67">
        <v>96.7</v>
      </c>
      <c r="K115" s="67">
        <v>94.2</v>
      </c>
      <c r="L115" s="67">
        <v>94.7</v>
      </c>
      <c r="M115" s="67">
        <v>95.9</v>
      </c>
      <c r="N115" s="67">
        <v>93.5</v>
      </c>
      <c r="O115" s="67">
        <v>94.7</v>
      </c>
      <c r="P115" s="67">
        <v>93.5</v>
      </c>
      <c r="Q115" s="142">
        <f t="shared" si="3"/>
        <v>83</v>
      </c>
      <c r="R115" s="36"/>
    </row>
    <row r="116" spans="1:18" ht="18" customHeight="1" x14ac:dyDescent="0.2">
      <c r="A116" s="32">
        <v>2054</v>
      </c>
      <c r="B116" s="32" t="s">
        <v>382</v>
      </c>
      <c r="C116" s="66">
        <v>0.25</v>
      </c>
      <c r="D116" s="66">
        <v>6.67</v>
      </c>
      <c r="E116" s="66">
        <v>28.46</v>
      </c>
      <c r="F116" s="66">
        <v>25.54</v>
      </c>
      <c r="G116" s="66">
        <v>0.39</v>
      </c>
      <c r="H116" s="66">
        <v>3.67</v>
      </c>
      <c r="I116" s="66">
        <v>1.01</v>
      </c>
      <c r="J116" s="67">
        <v>97.3</v>
      </c>
      <c r="K116" s="67">
        <v>95.1</v>
      </c>
      <c r="L116" s="67">
        <v>95.3</v>
      </c>
      <c r="M116" s="67">
        <v>96.4</v>
      </c>
      <c r="N116" s="67">
        <v>94.2</v>
      </c>
      <c r="O116" s="67">
        <v>95.3</v>
      </c>
      <c r="P116" s="67">
        <v>94.2</v>
      </c>
      <c r="Q116" s="142">
        <f t="shared" si="3"/>
        <v>83.6</v>
      </c>
      <c r="R116" s="36"/>
    </row>
    <row r="117" spans="1:18" ht="35" customHeight="1" x14ac:dyDescent="0.2">
      <c r="A117" s="32">
        <v>2055</v>
      </c>
      <c r="B117" s="32" t="s">
        <v>383</v>
      </c>
      <c r="C117" s="66">
        <v>0.25</v>
      </c>
      <c r="D117" s="66">
        <v>6.5</v>
      </c>
      <c r="E117" s="66">
        <v>28</v>
      </c>
      <c r="F117" s="66">
        <v>26</v>
      </c>
      <c r="G117" s="66">
        <v>0.38</v>
      </c>
      <c r="H117" s="66">
        <v>3.5</v>
      </c>
      <c r="I117" s="66">
        <v>1</v>
      </c>
      <c r="J117" s="67">
        <v>98</v>
      </c>
      <c r="K117" s="67">
        <v>96</v>
      </c>
      <c r="L117" s="67">
        <v>96</v>
      </c>
      <c r="M117" s="67">
        <v>97</v>
      </c>
      <c r="N117" s="67">
        <v>95</v>
      </c>
      <c r="O117" s="67">
        <v>96</v>
      </c>
      <c r="P117" s="67">
        <v>95</v>
      </c>
      <c r="Q117" s="142">
        <f t="shared" si="3"/>
        <v>84.3</v>
      </c>
      <c r="R117" s="36" t="s">
        <v>434</v>
      </c>
    </row>
  </sheetData>
  <autoFilter ref="A1:R10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ht="30" customHeight="1" x14ac:dyDescent="0.2">
      <c r="A1" s="136" t="s">
        <v>408</v>
      </c>
      <c r="B1" s="137"/>
    </row>
    <row r="2" spans="1:2" ht="15" customHeight="1" x14ac:dyDescent="0.2">
      <c r="A2" s="138"/>
      <c r="B2" s="138"/>
    </row>
    <row r="3" spans="1:2" ht="30" customHeight="1" x14ac:dyDescent="0.2">
      <c r="A3" s="139" t="s">
        <v>409</v>
      </c>
      <c r="B3" s="140" t="s">
        <v>410</v>
      </c>
    </row>
    <row r="4" spans="1:2" ht="15" customHeight="1" x14ac:dyDescent="0.2">
      <c r="A4" s="138"/>
      <c r="B4" s="138"/>
    </row>
    <row r="5" spans="1:2" ht="30" customHeight="1" x14ac:dyDescent="0.2">
      <c r="A5" s="139" t="s">
        <v>411</v>
      </c>
      <c r="B5" s="140" t="s">
        <v>412</v>
      </c>
    </row>
    <row r="6" spans="1:2" ht="15" customHeight="1" x14ac:dyDescent="0.2">
      <c r="A6" s="138"/>
      <c r="B6" s="138"/>
    </row>
    <row r="7" spans="1:2" ht="30" customHeight="1" x14ac:dyDescent="0.2">
      <c r="A7" s="139" t="s">
        <v>413</v>
      </c>
      <c r="B7" s="140" t="s">
        <v>414</v>
      </c>
    </row>
    <row r="8" spans="1:2" ht="15" customHeight="1" x14ac:dyDescent="0.2">
      <c r="A8" s="138"/>
      <c r="B8" s="138"/>
    </row>
    <row r="9" spans="1:2" ht="15" customHeight="1" x14ac:dyDescent="0.2">
      <c r="A9" s="139" t="s">
        <v>415</v>
      </c>
      <c r="B9" s="140"/>
    </row>
    <row r="10" spans="1:2" ht="30" customHeight="1" x14ac:dyDescent="0.2">
      <c r="A10" s="138" t="s">
        <v>416</v>
      </c>
      <c r="B10" s="138" t="s">
        <v>417</v>
      </c>
    </row>
    <row r="11" spans="1:2" ht="30" customHeight="1" x14ac:dyDescent="0.2">
      <c r="A11" s="138" t="s">
        <v>418</v>
      </c>
      <c r="B11" s="138" t="s">
        <v>419</v>
      </c>
    </row>
    <row r="12" spans="1:2" ht="30" customHeight="1" x14ac:dyDescent="0.2">
      <c r="A12" s="138" t="s">
        <v>420</v>
      </c>
      <c r="B12" s="138" t="s">
        <v>421</v>
      </c>
    </row>
    <row r="13" spans="1:2" ht="30" customHeight="1" x14ac:dyDescent="0.2">
      <c r="A13" s="138" t="s">
        <v>422</v>
      </c>
      <c r="B13" s="138" t="s">
        <v>423</v>
      </c>
    </row>
    <row r="14" spans="1:2" ht="30" customHeight="1" x14ac:dyDescent="0.2">
      <c r="A14" s="138" t="s">
        <v>424</v>
      </c>
      <c r="B14" s="138" t="s">
        <v>425</v>
      </c>
    </row>
    <row r="15" spans="1:2" ht="30" customHeight="1" x14ac:dyDescent="0.2">
      <c r="A15" s="138" t="s">
        <v>426</v>
      </c>
      <c r="B15" s="138" t="s">
        <v>427</v>
      </c>
    </row>
    <row r="16" spans="1:2" ht="15" customHeight="1" x14ac:dyDescent="0.2">
      <c r="A16" s="138"/>
      <c r="B16" s="138"/>
    </row>
    <row r="17" spans="1:2" ht="30" customHeight="1" x14ac:dyDescent="0.2">
      <c r="A17" s="138" t="s">
        <v>428</v>
      </c>
      <c r="B17" s="138" t="s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Headlines Database</vt:lpstr>
      <vt:lpstr>Inequality Indicators</vt:lpstr>
      <vt:lpstr>How to Read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Jauregui</cp:lastModifiedBy>
  <dcterms:created xsi:type="dcterms:W3CDTF">2026-05-04T18:54:56Z</dcterms:created>
  <dcterms:modified xsi:type="dcterms:W3CDTF">2026-05-04T22:05:10Z</dcterms:modified>
</cp:coreProperties>
</file>